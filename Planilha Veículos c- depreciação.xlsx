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utualizaFipe\"/>
    </mc:Choice>
  </mc:AlternateContent>
  <xr:revisionPtr revIDLastSave="0" documentId="13_ncr:1_{C9D5AA78-D182-4B1B-914C-871304190EA4}" xr6:coauthVersionLast="47" xr6:coauthVersionMax="47" xr10:uidLastSave="{00000000-0000-0000-0000-000000000000}"/>
  <bookViews>
    <workbookView xWindow="-120" yWindow="-120" windowWidth="29040" windowHeight="15720" xr2:uid="{7C20ADAB-4EB5-4DF2-B8FE-4F27C0C1DB8E}"/>
  </bookViews>
  <sheets>
    <sheet name="VEICULOS" sheetId="1" r:id="rId1"/>
    <sheet name="EQUIPAMENTOS PESADOS" sheetId="4" r:id="rId2"/>
  </sheets>
  <definedNames>
    <definedName name="_xlnm._FilterDatabase" localSheetId="1" hidden="1">'EQUIPAMENTOS PESADOS'!$B$2:$I$2</definedName>
    <definedName name="_xlnm._FilterDatabase" localSheetId="0" hidden="1">VEICULOS!$B$2:$N$2</definedName>
    <definedName name="_xlnm.Print_Titles" localSheetId="0">VEICULOS!$1:$2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55" i="4"/>
  <c r="I51" i="4"/>
  <c r="I52" i="4"/>
  <c r="I53" i="4"/>
  <c r="I54" i="4"/>
  <c r="I50" i="4"/>
  <c r="I45" i="4"/>
  <c r="I46" i="4"/>
  <c r="I47" i="4"/>
  <c r="I48" i="4"/>
  <c r="I49" i="4"/>
  <c r="I44" i="4"/>
  <c r="I39" i="4"/>
  <c r="I40" i="4"/>
  <c r="I41" i="4"/>
  <c r="I42" i="4"/>
  <c r="I43" i="4"/>
  <c r="I38" i="4"/>
  <c r="I34" i="4"/>
  <c r="I35" i="4"/>
  <c r="I36" i="4"/>
  <c r="I37" i="4"/>
  <c r="I33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9" i="4"/>
  <c r="I4" i="4"/>
  <c r="I5" i="4"/>
  <c r="I6" i="4"/>
  <c r="I7" i="4"/>
  <c r="I8" i="4"/>
  <c r="G68" i="4" l="1"/>
  <c r="G67" i="4"/>
  <c r="G66" i="4"/>
  <c r="G45" i="4"/>
  <c r="G40" i="4"/>
  <c r="G39" i="4"/>
  <c r="G28" i="4"/>
  <c r="G21" i="4"/>
  <c r="G12" i="4"/>
  <c r="G11" i="4"/>
  <c r="G70" i="4" l="1"/>
  <c r="M3" i="1" l="1"/>
  <c r="O3" i="1" s="1"/>
  <c r="M4" i="1"/>
  <c r="O4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3" i="1"/>
  <c r="P33" i="1" s="1"/>
  <c r="M34" i="1"/>
  <c r="P34" i="1" s="1"/>
  <c r="M35" i="1"/>
  <c r="P35" i="1" s="1"/>
  <c r="M36" i="1"/>
  <c r="P36" i="1" s="1"/>
  <c r="M37" i="1"/>
  <c r="P37" i="1" s="1"/>
  <c r="M38" i="1"/>
  <c r="P38" i="1" s="1"/>
  <c r="M39" i="1"/>
  <c r="P39" i="1" s="1"/>
  <c r="M40" i="1"/>
  <c r="P40" i="1" s="1"/>
  <c r="M41" i="1"/>
  <c r="P41" i="1" s="1"/>
  <c r="M42" i="1"/>
  <c r="P42" i="1" s="1"/>
  <c r="M43" i="1"/>
  <c r="P43" i="1" s="1"/>
  <c r="M5" i="1"/>
  <c r="O5" i="1" s="1"/>
  <c r="K44" i="1"/>
  <c r="J21" i="1"/>
  <c r="J22" i="1"/>
  <c r="N20" i="1"/>
  <c r="J20" i="1"/>
  <c r="J17" i="1"/>
  <c r="J14" i="1"/>
  <c r="J15" i="1"/>
  <c r="J16" i="1"/>
  <c r="J13" i="1"/>
  <c r="J11" i="1"/>
  <c r="J10" i="1"/>
  <c r="J9" i="1"/>
  <c r="J4" i="1"/>
  <c r="J5" i="1"/>
  <c r="J6" i="1"/>
  <c r="J7" i="1"/>
  <c r="J8" i="1"/>
  <c r="J3" i="1"/>
  <c r="N12" i="1"/>
  <c r="N25" i="1"/>
  <c r="J28" i="1"/>
  <c r="J25" i="1"/>
  <c r="J23" i="1"/>
  <c r="J12" i="1"/>
  <c r="N44" i="1" l="1"/>
  <c r="O20" i="1"/>
  <c r="O41" i="1"/>
  <c r="O40" i="1"/>
  <c r="O31" i="1"/>
  <c r="O30" i="1"/>
  <c r="O29" i="1"/>
  <c r="O28" i="1"/>
  <c r="O43" i="1"/>
  <c r="O42" i="1"/>
  <c r="O36" i="1"/>
  <c r="O39" i="1"/>
  <c r="O27" i="1"/>
  <c r="O38" i="1"/>
  <c r="O37" i="1"/>
  <c r="O35" i="1"/>
  <c r="O34" i="1"/>
  <c r="O33" i="1"/>
  <c r="O32" i="1"/>
  <c r="P26" i="1"/>
  <c r="P25" i="1"/>
  <c r="P11" i="1"/>
  <c r="P22" i="1"/>
  <c r="P16" i="1"/>
  <c r="P13" i="1"/>
  <c r="P12" i="1"/>
  <c r="P6" i="1"/>
  <c r="P18" i="1"/>
  <c r="P15" i="1"/>
  <c r="P14" i="1"/>
  <c r="P4" i="1"/>
  <c r="P23" i="1"/>
  <c r="P10" i="1"/>
  <c r="P21" i="1"/>
  <c r="P9" i="1"/>
  <c r="P8" i="1"/>
  <c r="P24" i="1"/>
  <c r="P19" i="1"/>
  <c r="P7" i="1"/>
  <c r="P17" i="1"/>
  <c r="P5" i="1"/>
  <c r="P3" i="1"/>
  <c r="J44" i="1"/>
  <c r="O44" i="1" l="1"/>
  <c r="P20" i="1"/>
  <c r="P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GTM-ENG</author>
    <author>tc={EB91C95E-6BD3-496B-941F-1CF430A1B522}</author>
  </authors>
  <commentList>
    <comment ref="B10" authorId="0" shapeId="0" xr:uid="{0E0CC8BC-11C2-4D44-A868-FB954AA4AB3E}">
      <text>
        <r>
          <rPr>
            <b/>
            <sz val="9"/>
            <color indexed="81"/>
            <rFont val="Segoe UI"/>
            <family val="2"/>
          </rPr>
          <t>GTM-ENG:</t>
        </r>
        <r>
          <rPr>
            <sz val="9"/>
            <color indexed="81"/>
            <rFont val="Segoe UI"/>
            <family val="2"/>
          </rPr>
          <t xml:space="preserve">
aguardando feitosa </t>
        </r>
      </text>
    </comment>
    <comment ref="I36" authorId="0" shapeId="0" xr:uid="{F0C24E16-7A70-4304-84F7-BC5A826ED56E}">
      <text>
        <r>
          <rPr>
            <b/>
            <sz val="9"/>
            <color indexed="81"/>
            <rFont val="Segoe UI"/>
            <family val="2"/>
          </rPr>
          <t>GTM-ENG:</t>
        </r>
        <r>
          <rPr>
            <sz val="9"/>
            <color indexed="81"/>
            <rFont val="Segoe UI"/>
            <family val="2"/>
          </rPr>
          <t xml:space="preserve">
Pegar apólice para colocar na pasta atualizado</t>
        </r>
      </text>
    </comment>
    <comment ref="I46" authorId="0" shapeId="0" xr:uid="{4FE6AF4D-6C4D-45AD-8278-7E838FA6227B}">
      <text>
        <r>
          <rPr>
            <b/>
            <sz val="9"/>
            <color indexed="81"/>
            <rFont val="Segoe UI"/>
            <family val="2"/>
          </rPr>
          <t>GTM-ENG:</t>
        </r>
        <r>
          <rPr>
            <sz val="9"/>
            <color indexed="81"/>
            <rFont val="Segoe UI"/>
            <family val="2"/>
          </rPr>
          <t xml:space="preserve">
Pegar apólice para colocar na pasta atualizado</t>
        </r>
      </text>
    </comment>
    <comment ref="H50" authorId="1" shapeId="0" xr:uid="{D9D403A0-0786-4ACA-A507-D6005EAC3E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20% de entrada + taxa do cartão</t>
        </r>
      </text>
    </comment>
  </commentList>
</comments>
</file>

<file path=xl/sharedStrings.xml><?xml version="1.0" encoding="utf-8"?>
<sst xmlns="http://schemas.openxmlformats.org/spreadsheetml/2006/main" count="518" uniqueCount="241">
  <si>
    <t xml:space="preserve">CÓD ATIVO </t>
  </si>
  <si>
    <t xml:space="preserve">TIPO </t>
  </si>
  <si>
    <t>MODELO</t>
  </si>
  <si>
    <t>ANO</t>
  </si>
  <si>
    <t xml:space="preserve">Nº NF </t>
  </si>
  <si>
    <t>VALOR NF</t>
  </si>
  <si>
    <t>-</t>
  </si>
  <si>
    <t>S/N</t>
  </si>
  <si>
    <t>CBV-01</t>
  </si>
  <si>
    <t>CAMINHAO BASCULANTE VOLKSWAGEM</t>
  </si>
  <si>
    <t>2025/2026</t>
  </si>
  <si>
    <t>CBV-02</t>
  </si>
  <si>
    <t>CBV-03</t>
  </si>
  <si>
    <t>CBV-04</t>
  </si>
  <si>
    <t>CBV-05</t>
  </si>
  <si>
    <t>CBV-06</t>
  </si>
  <si>
    <t>CCV-01</t>
  </si>
  <si>
    <t>CAMINHAO COMBOIO VOLKSVAGEM</t>
  </si>
  <si>
    <t>CCV-02</t>
  </si>
  <si>
    <t>CAMINHÃO COMBOIO VOLKSVAGEM</t>
  </si>
  <si>
    <t>VW - DELIVERY 11.180</t>
  </si>
  <si>
    <t>CER-01</t>
  </si>
  <si>
    <t>CAMINHÃO ESPARGIDOR ROMANELLI</t>
  </si>
  <si>
    <t>2014/2014</t>
  </si>
  <si>
    <t>CPV-01</t>
  </si>
  <si>
    <t>CAMINHÃO PRANCHA VOLKSWAGEN</t>
  </si>
  <si>
    <t>2024/2025</t>
  </si>
  <si>
    <t>420057/25712 / 129.628</t>
  </si>
  <si>
    <t>CPV-02</t>
  </si>
  <si>
    <t>CAMINHAO PIPA VOLKSWAGEM</t>
  </si>
  <si>
    <t>CPV-03</t>
  </si>
  <si>
    <t>CPV-04</t>
  </si>
  <si>
    <t>CPV-05</t>
  </si>
  <si>
    <t>CSI-04</t>
  </si>
  <si>
    <t>CAMINHÃO SINALIZAÇÃO IVECO</t>
  </si>
  <si>
    <t xml:space="preserve">IVECO /DAILY (OCQ-1189) - CABINE COMPLEMENTAR </t>
  </si>
  <si>
    <t>CSI-05</t>
  </si>
  <si>
    <t>IVECO /DAILY (OGH-2F91)</t>
  </si>
  <si>
    <t>2011/2012</t>
  </si>
  <si>
    <t>CSV-02</t>
  </si>
  <si>
    <t>CAMINHÃO SINALIZAÇÃO VOLKS WAGEN</t>
  </si>
  <si>
    <t>VW/5.140E (OCD-0168)</t>
  </si>
  <si>
    <t>CSV-03</t>
  </si>
  <si>
    <t>VW/6.160DRC 4X2 (FXE-4H68) - CABINE COMPLEMENTAR</t>
  </si>
  <si>
    <t>2020/2021</t>
  </si>
  <si>
    <t>CSV-08</t>
  </si>
  <si>
    <t>VW/11.180 + CABINE (THZ-1E01)</t>
  </si>
  <si>
    <t>CSV-09</t>
  </si>
  <si>
    <t>CAMINHAO SINALIZAÇAO VOLKSWAGEM</t>
  </si>
  <si>
    <t>CSV-10</t>
  </si>
  <si>
    <t>CSV-11</t>
  </si>
  <si>
    <t>CVW-01</t>
  </si>
  <si>
    <t>CAVALO VOLKSWAGEM - 01</t>
  </si>
  <si>
    <t>2023/2023</t>
  </si>
  <si>
    <t>2025/2025</t>
  </si>
  <si>
    <t>2026/2026</t>
  </si>
  <si>
    <t>2026/2027</t>
  </si>
  <si>
    <t>2021/2022</t>
  </si>
  <si>
    <t>VAC-O3</t>
  </si>
  <si>
    <t>VEÍCULO AUTOMOTOR COMPASS</t>
  </si>
  <si>
    <t>VAG-01</t>
  </si>
  <si>
    <t xml:space="preserve">VEÍCULO AUTOMOTOR GOL </t>
  </si>
  <si>
    <t>VAH-02</t>
  </si>
  <si>
    <t>VEÍCULO AUTOMOTOR HILUX</t>
  </si>
  <si>
    <t>2021/2021</t>
  </si>
  <si>
    <t>VAH-03</t>
  </si>
  <si>
    <t>VEÍCULO AUTOMOTOR HAVAL H9</t>
  </si>
  <si>
    <t>VAH-04</t>
  </si>
  <si>
    <t>VAP-01</t>
  </si>
  <si>
    <t>VEÍCULO AUTOMOTOR POLO</t>
  </si>
  <si>
    <t>VAP-02</t>
  </si>
  <si>
    <t>VAP-03</t>
  </si>
  <si>
    <t>VAP-04</t>
  </si>
  <si>
    <t>VAP-05</t>
  </si>
  <si>
    <t>VAS-01</t>
  </si>
  <si>
    <t>VEÍCULO AUTOMOTOR STRADA</t>
  </si>
  <si>
    <t>VAS-02</t>
  </si>
  <si>
    <t>VAS-03</t>
  </si>
  <si>
    <t>2023/2024</t>
  </si>
  <si>
    <t>VAS-04</t>
  </si>
  <si>
    <t>VAS-05</t>
  </si>
  <si>
    <t>VAS-06</t>
  </si>
  <si>
    <t>VAS-07</t>
  </si>
  <si>
    <t>VAT-01</t>
  </si>
  <si>
    <t>VEÍCULO AUTOMOTOR T-CROSS</t>
  </si>
  <si>
    <t>VALOR TOTAL EM ATIVO</t>
  </si>
  <si>
    <t>VALOR FIPE CHASSI</t>
  </si>
  <si>
    <t>VALOR IMPLEMENTOS</t>
  </si>
  <si>
    <t>DATA DA COMPRA</t>
  </si>
  <si>
    <t>VW - 17.210 4X2 (TII-8I46)</t>
  </si>
  <si>
    <t>VW/DELIVERY - 11.180 (UUN-2B64)</t>
  </si>
  <si>
    <t>VALOR IMPLEMNTOS C/ DEPRECIAÇÃO</t>
  </si>
  <si>
    <t>DEPRECIAÇÃO (%/mês)</t>
  </si>
  <si>
    <t>TOTAL 
(CHASSI + IMPL.)</t>
  </si>
  <si>
    <t xml:space="preserve">VEÍCULOS - GTM ENGENHARIA LTDA </t>
  </si>
  <si>
    <t xml:space="preserve">EQUIPAMENTOS - GTM ENGENHARIA LTDA </t>
  </si>
  <si>
    <t>BPE-01</t>
  </si>
  <si>
    <t>BLINDADO PARA ESCAVAÇÃO</t>
  </si>
  <si>
    <t>2,00 x 3,00 METROS (50% GTM - 50% ESTRUTURAL)</t>
  </si>
  <si>
    <t>BPE-02</t>
  </si>
  <si>
    <t>BPE-03</t>
  </si>
  <si>
    <t>BPE-04</t>
  </si>
  <si>
    <t>1,20 x 1,50 METROS (50% GTM - 50% ESTRUTURAL)</t>
  </si>
  <si>
    <t>BPE-05</t>
  </si>
  <si>
    <t>BTC-01</t>
  </si>
  <si>
    <t>BETONEIRA CSM</t>
  </si>
  <si>
    <t>CMOTOR DIESEL 400LTS</t>
  </si>
  <si>
    <t>BTC-02</t>
  </si>
  <si>
    <t>BTC-03</t>
  </si>
  <si>
    <t xml:space="preserve">BETONEIRA ELÉTRICA </t>
  </si>
  <si>
    <t>ELÉTRICA MONOFÁSICA - 400 LITROS</t>
  </si>
  <si>
    <t>BTC-04</t>
  </si>
  <si>
    <t xml:space="preserve">BETONEIRA </t>
  </si>
  <si>
    <t>400LTS (50% GTM - 50% BRIMAX)</t>
  </si>
  <si>
    <t>BTC-05</t>
  </si>
  <si>
    <t>BTC-06</t>
  </si>
  <si>
    <t>BETONEIRA</t>
  </si>
  <si>
    <t>CMA-01</t>
  </si>
  <si>
    <t>CONTAINER METÁLICO ALMOXARIFADO</t>
  </si>
  <si>
    <t>2,40 X 6,00 METROS</t>
  </si>
  <si>
    <t>CMA-02</t>
  </si>
  <si>
    <t>CMA-03</t>
  </si>
  <si>
    <t>CMA-04</t>
  </si>
  <si>
    <t>CMA-05</t>
  </si>
  <si>
    <t>CMA-06</t>
  </si>
  <si>
    <t>CMA-07</t>
  </si>
  <si>
    <t>CME-01</t>
  </si>
  <si>
    <t>CONTAINER MODULAR ESCRITÓRIO</t>
  </si>
  <si>
    <t>54 M2 X R$1.250,00</t>
  </si>
  <si>
    <t>CME-02</t>
  </si>
  <si>
    <t>CONTAINER METÁLICO ESCRITÓRIO</t>
  </si>
  <si>
    <t>CME-03</t>
  </si>
  <si>
    <t>CME-04</t>
  </si>
  <si>
    <t>CME-05</t>
  </si>
  <si>
    <t>CME-06</t>
  </si>
  <si>
    <t>CME-07</t>
  </si>
  <si>
    <t>DAR-01</t>
  </si>
  <si>
    <t>DISTRIBUIDOR DE AGREGADOS ROMANELLI</t>
  </si>
  <si>
    <t>EAR-800</t>
  </si>
  <si>
    <t>2024/2024</t>
  </si>
  <si>
    <t>EHC-01</t>
  </si>
  <si>
    <t>ESCAVADEIRA HIDRÁULICA CAT</t>
  </si>
  <si>
    <t>CAT 320</t>
  </si>
  <si>
    <t>EHC-02</t>
  </si>
  <si>
    <t>EHC-03</t>
  </si>
  <si>
    <t>EHC-04</t>
  </si>
  <si>
    <t>EHC-05</t>
  </si>
  <si>
    <t>GDT-01</t>
  </si>
  <si>
    <t>GRADE DE DISCOS TATU ($60.000,00)</t>
  </si>
  <si>
    <t>TATU 16 DISCOS DE 26"</t>
  </si>
  <si>
    <t>GDB-02</t>
  </si>
  <si>
    <t>GRADE DE DISCOS BALDAN</t>
  </si>
  <si>
    <t>BALDAN 16 DISCOS DE 26"</t>
  </si>
  <si>
    <t>GDB-03</t>
  </si>
  <si>
    <t>BALDAN 18 DISCOS DE 26"</t>
  </si>
  <si>
    <t>GDB-04</t>
  </si>
  <si>
    <t>GDB-05</t>
  </si>
  <si>
    <t>BALDAN CRSG 18 DISCOS DE 26"</t>
  </si>
  <si>
    <t>LBS-01</t>
  </si>
  <si>
    <t>LABORATÓRIO DE SOLOS</t>
  </si>
  <si>
    <t>LABORATORIO</t>
  </si>
  <si>
    <t>MNC-01</t>
  </si>
  <si>
    <t>MOTONIVELADORA CAT</t>
  </si>
  <si>
    <t>CAT-140K</t>
  </si>
  <si>
    <t>MNC-02</t>
  </si>
  <si>
    <t>MNC-03</t>
  </si>
  <si>
    <t>MNC-04</t>
  </si>
  <si>
    <t>MNC-05</t>
  </si>
  <si>
    <t>RCD-01</t>
  </si>
  <si>
    <t>ROLO COMPACTADOR DYNAPAC</t>
  </si>
  <si>
    <t>ROLO CA 25D</t>
  </si>
  <si>
    <t>RCD-02</t>
  </si>
  <si>
    <t>RCD-03</t>
  </si>
  <si>
    <t>ROLO COMBINADO DYNAPAC</t>
  </si>
  <si>
    <t>ROLO CC 1300C</t>
  </si>
  <si>
    <t>RCD-04</t>
  </si>
  <si>
    <t>RCD-05</t>
  </si>
  <si>
    <t>RCD-06</t>
  </si>
  <si>
    <t>REC-01</t>
  </si>
  <si>
    <t>RETRO ESCAVADEIRA CAT</t>
  </si>
  <si>
    <t>416F2 - 416</t>
  </si>
  <si>
    <t>REC-02</t>
  </si>
  <si>
    <t>REC-03</t>
  </si>
  <si>
    <t>REC-04</t>
  </si>
  <si>
    <t>REC-05</t>
  </si>
  <si>
    <t>TOD-01</t>
  </si>
  <si>
    <t>TANQUE DE ÓLEO DIESEL</t>
  </si>
  <si>
    <t>15.000 LITROS</t>
  </si>
  <si>
    <t>TOD-02</t>
  </si>
  <si>
    <t>TOD-03</t>
  </si>
  <si>
    <t>TOD-04</t>
  </si>
  <si>
    <t>TOD-05</t>
  </si>
  <si>
    <t>TPV-01</t>
  </si>
  <si>
    <t>TRATOR DE PNEUS VALTRA</t>
  </si>
  <si>
    <t>A-990R 4X4</t>
  </si>
  <si>
    <t>TPV-02</t>
  </si>
  <si>
    <t>TPV-03</t>
  </si>
  <si>
    <t>BM115 4X4</t>
  </si>
  <si>
    <t>TPV-04</t>
  </si>
  <si>
    <t xml:space="preserve">BM115 4x4 CABINADO </t>
  </si>
  <si>
    <t>TPV-05</t>
  </si>
  <si>
    <t>UAM-01</t>
  </si>
  <si>
    <t>USINA DE ASFALTO MÓVEL MARGUI</t>
  </si>
  <si>
    <t>USINA DE ASFALTO MÓVEL UAM 60-80 (50% GTM - 50% BRIMAX)</t>
  </si>
  <si>
    <t>USF-01</t>
  </si>
  <si>
    <t>USINA DE SOLOS FRUMECAR</t>
  </si>
  <si>
    <t>USINA DE SOLOS E 2 SILOS DE CIMENTO</t>
  </si>
  <si>
    <t>VMC-01</t>
  </si>
  <si>
    <t>VASSOURA MECÂNICA CMV</t>
  </si>
  <si>
    <t>BPB-01</t>
  </si>
  <si>
    <t>PROPULSORA PNEUMÁTICA</t>
  </si>
  <si>
    <t>BREMEN 8596 20KG</t>
  </si>
  <si>
    <t>DEPRECIAÇÃO (% mês)</t>
  </si>
  <si>
    <t>2026</t>
  </si>
  <si>
    <t>MARCA</t>
  </si>
  <si>
    <t>VOLKSWAGEN</t>
  </si>
  <si>
    <t>IVECO</t>
  </si>
  <si>
    <t>JEEP</t>
  </si>
  <si>
    <t>TOYOTA</t>
  </si>
  <si>
    <t>GWM</t>
  </si>
  <si>
    <t>FIAT</t>
  </si>
  <si>
    <t>CATEGORIA FIPE</t>
  </si>
  <si>
    <t>trucks</t>
  </si>
  <si>
    <t>cars</t>
  </si>
  <si>
    <t>CÓD FIPE</t>
  </si>
  <si>
    <t xml:space="preserve">VW - 31.320 6X4/ 14M³ </t>
  </si>
  <si>
    <t xml:space="preserve">VW-13.190 CRM 4X2 </t>
  </si>
  <si>
    <t>VW-26.260 - 6X2</t>
  </si>
  <si>
    <t xml:space="preserve">VW - 26.260 6X2 </t>
  </si>
  <si>
    <t xml:space="preserve"> VW-29.530 MTM 6X4</t>
  </si>
  <si>
    <t xml:space="preserve">JEEP LONGITUDE </t>
  </si>
  <si>
    <t xml:space="preserve">GOL G5 5U7TA42 - 1.0 </t>
  </si>
  <si>
    <t xml:space="preserve">TOYOTA HILUX CDSRV </t>
  </si>
  <si>
    <t xml:space="preserve">HAVAL H9 EXCLUSIVE TD480 </t>
  </si>
  <si>
    <t xml:space="preserve">VW/POLO TRACK MA ROBUSTER </t>
  </si>
  <si>
    <t xml:space="preserve">FREEDOM CD 2023 - 1.3 </t>
  </si>
  <si>
    <t xml:space="preserve">FREEDOM CD 2024 - 1.3 </t>
  </si>
  <si>
    <t xml:space="preserve">FREEDOM CS 2024 - 1.3 </t>
  </si>
  <si>
    <t xml:space="preserve">FREEDOM CD 2026 - 1.3 </t>
  </si>
  <si>
    <t xml:space="preserve">FREEDOM CD 2027 - 1.3 </t>
  </si>
  <si>
    <t xml:space="preserve">VW/T CROSS SENSE TSI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</si>
</sst>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4" fontId="3" fillId="3" borderId="2" xfId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4" fontId="0" fillId="0" borderId="5" xfId="1" applyFont="1" applyBorder="1" applyAlignment="1">
      <alignment horizontal="center" vertical="center" wrapText="1"/>
    </xf>
    <xf numFmtId="44" fontId="0" fillId="0" borderId="5" xfId="1" applyFont="1" applyFill="1" applyBorder="1" applyAlignment="1">
      <alignment horizontal="center" vertical="center" wrapText="1"/>
    </xf>
    <xf numFmtId="44" fontId="0" fillId="4" borderId="5" xfId="1" applyFont="1" applyFill="1" applyBorder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44" fontId="1" fillId="0" borderId="5" xfId="1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0" fontId="0" fillId="0" borderId="5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3" fillId="3" borderId="3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4" fontId="0" fillId="0" borderId="10" xfId="1" applyFon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44" fontId="0" fillId="0" borderId="10" xfId="1" applyFont="1" applyFill="1" applyBorder="1" applyAlignment="1">
      <alignment horizontal="center" vertical="center" wrapText="1"/>
    </xf>
    <xf numFmtId="44" fontId="3" fillId="6" borderId="13" xfId="0" applyNumberFormat="1" applyFont="1" applyFill="1" applyBorder="1" applyAlignment="1">
      <alignment horizontal="center" vertical="center"/>
    </xf>
    <xf numFmtId="9" fontId="3" fillId="6" borderId="13" xfId="2" applyFont="1" applyFill="1" applyBorder="1" applyAlignment="1">
      <alignment horizontal="center" vertical="center"/>
    </xf>
    <xf numFmtId="44" fontId="3" fillId="6" borderId="13" xfId="1" applyFont="1" applyFill="1" applyBorder="1" applyAlignment="1">
      <alignment horizontal="center" vertical="center"/>
    </xf>
    <xf numFmtId="44" fontId="3" fillId="6" borderId="1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44" fontId="0" fillId="0" borderId="5" xfId="1" applyFont="1" applyFill="1" applyBorder="1" applyAlignment="1">
      <alignment horizontal="center" vertical="center"/>
    </xf>
    <xf numFmtId="44" fontId="0" fillId="4" borderId="5" xfId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4" fontId="0" fillId="0" borderId="0" xfId="0" applyNumberFormat="1"/>
    <xf numFmtId="44" fontId="1" fillId="0" borderId="5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44" fontId="1" fillId="7" borderId="5" xfId="1" applyFont="1" applyFill="1" applyBorder="1" applyAlignment="1">
      <alignment horizontal="center" vertical="center"/>
    </xf>
    <xf numFmtId="44" fontId="3" fillId="6" borderId="5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4" fontId="0" fillId="0" borderId="17" xfId="1" applyNumberFormat="1" applyFont="1" applyBorder="1" applyAlignment="1">
      <alignment horizontal="center" vertical="center"/>
    </xf>
    <xf numFmtId="14" fontId="3" fillId="6" borderId="5" xfId="0" applyNumberFormat="1" applyFont="1" applyFill="1" applyBorder="1" applyAlignment="1">
      <alignment horizontal="center" vertical="center"/>
    </xf>
    <xf numFmtId="14" fontId="0" fillId="0" borderId="5" xfId="0" quotePrefix="1" applyNumberFormat="1" applyBorder="1" applyAlignment="1">
      <alignment horizontal="center" vertical="center"/>
    </xf>
    <xf numFmtId="14" fontId="0" fillId="7" borderId="17" xfId="1" applyNumberFormat="1" applyFont="1" applyFill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4" fillId="2" borderId="6" xfId="1" applyNumberFormat="1" applyFont="1" applyFill="1" applyBorder="1" applyAlignment="1">
      <alignment horizontal="center" vertical="center"/>
    </xf>
    <xf numFmtId="0" fontId="4" fillId="2" borderId="7" xfId="1" applyNumberFormat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4" fillId="2" borderId="15" xfId="1" applyNumberFormat="1" applyFont="1" applyFill="1" applyBorder="1" applyAlignment="1">
      <alignment horizontal="center" vertical="center"/>
    </xf>
    <xf numFmtId="0" fontId="4" fillId="2" borderId="16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41276</xdr:colOff>
      <xdr:row>0</xdr:row>
      <xdr:rowOff>70697</xdr:rowOff>
    </xdr:from>
    <xdr:to>
      <xdr:col>2</xdr:col>
      <xdr:colOff>101600</xdr:colOff>
      <xdr:row>0</xdr:row>
      <xdr:rowOff>651933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9AAE90F-5465-4D9D-8CDB-7169016FA608}"/>
            </a:ext>
          </a:extLst>
        </xdr:cNvPr>
        <xdr:cNvSpPr/>
      </xdr:nvSpPr>
      <xdr:spPr>
        <a:xfrm>
          <a:off x="98426" y="68792"/>
          <a:ext cx="1180464" cy="585046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49530</xdr:colOff>
      <xdr:row>0</xdr:row>
      <xdr:rowOff>122767</xdr:rowOff>
    </xdr:from>
    <xdr:to>
      <xdr:col>2</xdr:col>
      <xdr:colOff>177800</xdr:colOff>
      <xdr:row>0</xdr:row>
      <xdr:rowOff>590471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C14BDE-3094-4A12-A0A5-574645A93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24672"/>
          <a:ext cx="1297940" cy="4696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41276</xdr:colOff>
      <xdr:row>0</xdr:row>
      <xdr:rowOff>70697</xdr:rowOff>
    </xdr:from>
    <xdr:to>
      <xdr:col>2</xdr:col>
      <xdr:colOff>101600</xdr:colOff>
      <xdr:row>0</xdr:row>
      <xdr:rowOff>651933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EA892E7-AE7C-47AE-B16D-AC85DC3C388C}"/>
            </a:ext>
          </a:extLst>
        </xdr:cNvPr>
        <xdr:cNvSpPr/>
      </xdr:nvSpPr>
      <xdr:spPr>
        <a:xfrm>
          <a:off x="98426" y="68792"/>
          <a:ext cx="1180464" cy="585046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49530</xdr:colOff>
      <xdr:row>0</xdr:row>
      <xdr:rowOff>122767</xdr:rowOff>
    </xdr:from>
    <xdr:to>
      <xdr:col>2</xdr:col>
      <xdr:colOff>173990</xdr:colOff>
      <xdr:row>0</xdr:row>
      <xdr:rowOff>590471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1726C3-0669-4C80-B5E3-F3DA178D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24672"/>
          <a:ext cx="1297940" cy="4696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1557-DD37-43BD-B1BB-E5ED36EFCC0F}">
  <dimension ref="A1:T45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6" sqref="D26"/>
    </sheetView>
  </sheetViews>
  <sheetFormatPr defaultColWidth="9.140625" defaultRowHeight="15" x14ac:dyDescent="0.25"/>
  <cols>
    <col min="1" max="1" width="0.85546875" style="1" customWidth="1"/>
    <col min="2" max="2" width="16.28515625" style="1" customWidth="1"/>
    <col min="3" max="3" width="40" style="1" bestFit="1" customWidth="1"/>
    <col min="4" max="4" width="45.7109375" style="12" customWidth="1"/>
    <col min="5" max="7" width="19" style="12" customWidth="1"/>
    <col min="8" max="8" width="11.28515625" style="1" customWidth="1"/>
    <col min="9" max="9" width="14.140625" style="1" bestFit="1" customWidth="1"/>
    <col min="10" max="10" width="21.5703125" style="1" bestFit="1" customWidth="1"/>
    <col min="11" max="11" width="21.7109375" style="9" customWidth="1"/>
    <col min="12" max="12" width="13.140625" style="1" bestFit="1" customWidth="1"/>
    <col min="13" max="13" width="15.5703125" style="9" customWidth="1"/>
    <col min="14" max="14" width="27.5703125" style="9" bestFit="1" customWidth="1"/>
    <col min="15" max="15" width="20.5703125" style="9" bestFit="1" customWidth="1"/>
    <col min="16" max="16" width="22.5703125" style="1" bestFit="1" customWidth="1"/>
    <col min="17" max="16384" width="9.140625" style="1"/>
  </cols>
  <sheetData>
    <row r="1" spans="1:20" ht="58.5" customHeight="1" thickBot="1" x14ac:dyDescent="0.3">
      <c r="B1" s="56" t="s">
        <v>94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</row>
    <row r="2" spans="1:20" ht="39.6" customHeight="1" thickBot="1" x14ac:dyDescent="0.3">
      <c r="B2" s="2" t="s">
        <v>0</v>
      </c>
      <c r="C2" s="3" t="s">
        <v>1</v>
      </c>
      <c r="D2" s="10" t="s">
        <v>2</v>
      </c>
      <c r="E2" s="10" t="s">
        <v>214</v>
      </c>
      <c r="F2" s="10" t="s">
        <v>224</v>
      </c>
      <c r="G2" s="10" t="s">
        <v>221</v>
      </c>
      <c r="H2" s="3" t="s">
        <v>3</v>
      </c>
      <c r="I2" s="3" t="s">
        <v>4</v>
      </c>
      <c r="J2" s="3" t="s">
        <v>5</v>
      </c>
      <c r="K2" s="4" t="s">
        <v>86</v>
      </c>
      <c r="L2" s="10" t="s">
        <v>88</v>
      </c>
      <c r="M2" s="4" t="s">
        <v>92</v>
      </c>
      <c r="N2" s="4" t="s">
        <v>87</v>
      </c>
      <c r="O2" s="4" t="s">
        <v>91</v>
      </c>
      <c r="P2" s="22" t="s">
        <v>93</v>
      </c>
    </row>
    <row r="3" spans="1:20" s="12" customFormat="1" x14ac:dyDescent="0.25">
      <c r="A3" s="13"/>
      <c r="B3" s="23" t="s">
        <v>8</v>
      </c>
      <c r="C3" s="11" t="s">
        <v>9</v>
      </c>
      <c r="D3" s="11" t="s">
        <v>225</v>
      </c>
      <c r="E3" s="11" t="s">
        <v>215</v>
      </c>
      <c r="F3" s="11"/>
      <c r="G3" s="11" t="s">
        <v>222</v>
      </c>
      <c r="H3" s="11" t="s">
        <v>10</v>
      </c>
      <c r="I3" s="11">
        <v>699276</v>
      </c>
      <c r="J3" s="14">
        <f>580000</f>
        <v>580000</v>
      </c>
      <c r="K3" s="14">
        <v>613394</v>
      </c>
      <c r="L3" s="19">
        <v>45895</v>
      </c>
      <c r="M3" s="20">
        <f t="shared" ref="M3:M4" ca="1" si="0">IF(L3&lt;&gt;0,ROUND((L3-TODAY())/30,1)*(10%/12),"-")</f>
        <v>-9.9166666666666667E-2</v>
      </c>
      <c r="N3" s="14">
        <v>85000</v>
      </c>
      <c r="O3" s="14">
        <f ca="1">IF(M3&lt;&gt;"-",N3+N3*M3,0)</f>
        <v>76570.833333333328</v>
      </c>
      <c r="P3" s="24">
        <f t="shared" ref="P3:P43" ca="1" si="1">K3+IF(M3&lt;&gt;"-",O3,0)</f>
        <v>689964.83333333337</v>
      </c>
    </row>
    <row r="4" spans="1:20" s="12" customFormat="1" x14ac:dyDescent="0.25">
      <c r="A4" s="13"/>
      <c r="B4" s="23" t="s">
        <v>11</v>
      </c>
      <c r="C4" s="11" t="s">
        <v>9</v>
      </c>
      <c r="D4" s="11" t="s">
        <v>225</v>
      </c>
      <c r="E4" s="11" t="s">
        <v>215</v>
      </c>
      <c r="F4" s="11"/>
      <c r="G4" s="11" t="s">
        <v>222</v>
      </c>
      <c r="H4" s="11" t="s">
        <v>10</v>
      </c>
      <c r="I4" s="11">
        <v>699277</v>
      </c>
      <c r="J4" s="14">
        <f t="shared" ref="J4:J8" si="2">580000</f>
        <v>580000</v>
      </c>
      <c r="K4" s="14">
        <v>613394</v>
      </c>
      <c r="L4" s="19">
        <v>45895</v>
      </c>
      <c r="M4" s="20">
        <f t="shared" ca="1" si="0"/>
        <v>-9.9166666666666667E-2</v>
      </c>
      <c r="N4" s="14">
        <v>85000</v>
      </c>
      <c r="O4" s="14">
        <f t="shared" ref="O4:O43" ca="1" si="3">IF(M4&lt;&gt;"-",N4+N4*M4,0)</f>
        <v>76570.833333333328</v>
      </c>
      <c r="P4" s="24">
        <f t="shared" ca="1" si="1"/>
        <v>689964.83333333337</v>
      </c>
    </row>
    <row r="5" spans="1:20" s="12" customFormat="1" x14ac:dyDescent="0.25">
      <c r="A5" s="13"/>
      <c r="B5" s="23" t="s">
        <v>12</v>
      </c>
      <c r="C5" s="11" t="s">
        <v>9</v>
      </c>
      <c r="D5" s="11" t="s">
        <v>225</v>
      </c>
      <c r="E5" s="11" t="s">
        <v>215</v>
      </c>
      <c r="F5" s="11"/>
      <c r="G5" s="11" t="s">
        <v>222</v>
      </c>
      <c r="H5" s="11" t="s">
        <v>10</v>
      </c>
      <c r="I5" s="11">
        <v>699278</v>
      </c>
      <c r="J5" s="14">
        <f t="shared" si="2"/>
        <v>580000</v>
      </c>
      <c r="K5" s="14">
        <v>613394</v>
      </c>
      <c r="L5" s="19">
        <v>45895</v>
      </c>
      <c r="M5" s="20">
        <f ca="1">IF(L5&lt;&gt;0,ROUND((L5-TODAY())/30,1)*(10%/12),"-")</f>
        <v>-9.9166666666666667E-2</v>
      </c>
      <c r="N5" s="14">
        <v>85000</v>
      </c>
      <c r="O5" s="14">
        <f t="shared" ca="1" si="3"/>
        <v>76570.833333333328</v>
      </c>
      <c r="P5" s="24">
        <f t="shared" ca="1" si="1"/>
        <v>689964.83333333337</v>
      </c>
    </row>
    <row r="6" spans="1:20" s="12" customFormat="1" x14ac:dyDescent="0.25">
      <c r="A6" s="13"/>
      <c r="B6" s="23" t="s">
        <v>13</v>
      </c>
      <c r="C6" s="11" t="s">
        <v>9</v>
      </c>
      <c r="D6" s="11" t="s">
        <v>225</v>
      </c>
      <c r="E6" s="11" t="s">
        <v>215</v>
      </c>
      <c r="F6" s="11"/>
      <c r="G6" s="11" t="s">
        <v>222</v>
      </c>
      <c r="H6" s="11" t="s">
        <v>10</v>
      </c>
      <c r="I6" s="11">
        <v>699279</v>
      </c>
      <c r="J6" s="14">
        <f t="shared" si="2"/>
        <v>580000</v>
      </c>
      <c r="K6" s="14">
        <v>613394</v>
      </c>
      <c r="L6" s="19">
        <v>45895</v>
      </c>
      <c r="M6" s="20">
        <f t="shared" ref="M6:M43" ca="1" si="4">IF(L6&lt;&gt;0,ROUND((L6-TODAY())/30,1)*(10%/12),"-")</f>
        <v>-9.9166666666666667E-2</v>
      </c>
      <c r="N6" s="14">
        <v>85000</v>
      </c>
      <c r="O6" s="14">
        <f t="shared" ca="1" si="3"/>
        <v>76570.833333333328</v>
      </c>
      <c r="P6" s="24">
        <f t="shared" ca="1" si="1"/>
        <v>689964.83333333337</v>
      </c>
    </row>
    <row r="7" spans="1:20" s="12" customFormat="1" x14ac:dyDescent="0.25">
      <c r="A7" s="13"/>
      <c r="B7" s="23" t="s">
        <v>14</v>
      </c>
      <c r="C7" s="11" t="s">
        <v>9</v>
      </c>
      <c r="D7" s="11" t="s">
        <v>225</v>
      </c>
      <c r="E7" s="11" t="s">
        <v>215</v>
      </c>
      <c r="F7" s="11"/>
      <c r="G7" s="11" t="s">
        <v>222</v>
      </c>
      <c r="H7" s="11" t="s">
        <v>10</v>
      </c>
      <c r="I7" s="11">
        <v>700155</v>
      </c>
      <c r="J7" s="14">
        <f t="shared" si="2"/>
        <v>580000</v>
      </c>
      <c r="K7" s="14">
        <v>613394</v>
      </c>
      <c r="L7" s="19">
        <v>45895</v>
      </c>
      <c r="M7" s="20">
        <f t="shared" ca="1" si="4"/>
        <v>-9.9166666666666667E-2</v>
      </c>
      <c r="N7" s="14">
        <v>85000</v>
      </c>
      <c r="O7" s="14">
        <f t="shared" ca="1" si="3"/>
        <v>76570.833333333328</v>
      </c>
      <c r="P7" s="24">
        <f t="shared" ca="1" si="1"/>
        <v>689964.83333333337</v>
      </c>
    </row>
    <row r="8" spans="1:20" s="12" customFormat="1" x14ac:dyDescent="0.25">
      <c r="A8" s="13"/>
      <c r="B8" s="23" t="s">
        <v>15</v>
      </c>
      <c r="C8" s="11" t="s">
        <v>9</v>
      </c>
      <c r="D8" s="11" t="s">
        <v>225</v>
      </c>
      <c r="E8" s="11" t="s">
        <v>215</v>
      </c>
      <c r="F8" s="11"/>
      <c r="G8" s="11" t="s">
        <v>222</v>
      </c>
      <c r="H8" s="11" t="s">
        <v>10</v>
      </c>
      <c r="I8" s="11">
        <v>700155</v>
      </c>
      <c r="J8" s="14">
        <f t="shared" si="2"/>
        <v>580000</v>
      </c>
      <c r="K8" s="14">
        <v>613394</v>
      </c>
      <c r="L8" s="19">
        <v>45895</v>
      </c>
      <c r="M8" s="20">
        <f t="shared" ca="1" si="4"/>
        <v>-9.9166666666666667E-2</v>
      </c>
      <c r="N8" s="14">
        <v>85000</v>
      </c>
      <c r="O8" s="14">
        <f t="shared" ca="1" si="3"/>
        <v>76570.833333333328</v>
      </c>
      <c r="P8" s="24">
        <f t="shared" ca="1" si="1"/>
        <v>689964.83333333337</v>
      </c>
    </row>
    <row r="9" spans="1:20" s="12" customFormat="1" x14ac:dyDescent="0.25">
      <c r="A9" s="13"/>
      <c r="B9" s="23" t="s">
        <v>16</v>
      </c>
      <c r="C9" s="11" t="s">
        <v>17</v>
      </c>
      <c r="D9" s="11" t="s">
        <v>225</v>
      </c>
      <c r="E9" s="11" t="s">
        <v>215</v>
      </c>
      <c r="F9" s="11"/>
      <c r="G9" s="11" t="s">
        <v>222</v>
      </c>
      <c r="H9" s="11" t="s">
        <v>10</v>
      </c>
      <c r="I9" s="11">
        <v>700198</v>
      </c>
      <c r="J9" s="15">
        <f>346000</f>
        <v>346000</v>
      </c>
      <c r="K9" s="14">
        <v>347599</v>
      </c>
      <c r="L9" s="19">
        <v>45897</v>
      </c>
      <c r="M9" s="20">
        <f t="shared" ca="1" si="4"/>
        <v>-9.8333333333333342E-2</v>
      </c>
      <c r="N9" s="14">
        <v>171014</v>
      </c>
      <c r="O9" s="14">
        <f t="shared" ca="1" si="3"/>
        <v>154197.62333333332</v>
      </c>
      <c r="P9" s="24">
        <f t="shared" ca="1" si="1"/>
        <v>501796.62333333329</v>
      </c>
    </row>
    <row r="10" spans="1:20" s="12" customFormat="1" x14ac:dyDescent="0.25">
      <c r="A10" s="13"/>
      <c r="B10" s="23" t="s">
        <v>18</v>
      </c>
      <c r="C10" s="11" t="s">
        <v>19</v>
      </c>
      <c r="D10" s="11" t="s">
        <v>20</v>
      </c>
      <c r="E10" s="11" t="s">
        <v>215</v>
      </c>
      <c r="F10" s="11"/>
      <c r="G10" s="11" t="s">
        <v>222</v>
      </c>
      <c r="H10" s="11">
        <v>2026</v>
      </c>
      <c r="I10" s="11">
        <v>726135</v>
      </c>
      <c r="J10" s="16">
        <f>355000</f>
        <v>355000</v>
      </c>
      <c r="K10" s="16">
        <v>347599</v>
      </c>
      <c r="L10" s="19">
        <v>46142</v>
      </c>
      <c r="M10" s="20">
        <f t="shared" ca="1" si="4"/>
        <v>-3.0833333333333334E-2</v>
      </c>
      <c r="N10" s="14">
        <v>165000</v>
      </c>
      <c r="O10" s="14">
        <f t="shared" ca="1" si="3"/>
        <v>159912.5</v>
      </c>
      <c r="P10" s="24">
        <f t="shared" ca="1" si="1"/>
        <v>507511.5</v>
      </c>
      <c r="T10" s="17"/>
    </row>
    <row r="11" spans="1:20" s="12" customFormat="1" x14ac:dyDescent="0.25">
      <c r="A11" s="13"/>
      <c r="B11" s="23" t="s">
        <v>21</v>
      </c>
      <c r="C11" s="11" t="s">
        <v>22</v>
      </c>
      <c r="D11" s="11" t="s">
        <v>226</v>
      </c>
      <c r="E11" s="11" t="s">
        <v>215</v>
      </c>
      <c r="F11" s="11"/>
      <c r="G11" s="11" t="s">
        <v>222</v>
      </c>
      <c r="H11" s="11" t="s">
        <v>23</v>
      </c>
      <c r="I11" s="11">
        <v>25464</v>
      </c>
      <c r="J11" s="14">
        <f>190000+4497.24</f>
        <v>194497.24</v>
      </c>
      <c r="K11" s="14">
        <v>215885</v>
      </c>
      <c r="L11" s="19">
        <v>45349</v>
      </c>
      <c r="M11" s="20">
        <f t="shared" ca="1" si="4"/>
        <v>-0.25083333333333335</v>
      </c>
      <c r="N11" s="14">
        <v>282503.59000000003</v>
      </c>
      <c r="O11" s="14">
        <f t="shared" ca="1" si="3"/>
        <v>211642.27284166668</v>
      </c>
      <c r="P11" s="24">
        <f t="shared" ca="1" si="1"/>
        <v>427527.27284166671</v>
      </c>
      <c r="T11" s="17"/>
    </row>
    <row r="12" spans="1:20" s="12" customFormat="1" ht="33.6" customHeight="1" x14ac:dyDescent="0.25">
      <c r="B12" s="23" t="s">
        <v>24</v>
      </c>
      <c r="C12" s="11" t="s">
        <v>25</v>
      </c>
      <c r="D12" s="11" t="s">
        <v>227</v>
      </c>
      <c r="E12" s="11" t="s">
        <v>215</v>
      </c>
      <c r="F12" s="11"/>
      <c r="G12" s="11" t="s">
        <v>222</v>
      </c>
      <c r="H12" s="11" t="s">
        <v>26</v>
      </c>
      <c r="I12" s="11" t="s">
        <v>27</v>
      </c>
      <c r="J12" s="14">
        <f>560000+130000</f>
        <v>690000</v>
      </c>
      <c r="K12" s="14">
        <v>471760</v>
      </c>
      <c r="L12" s="19">
        <v>45471</v>
      </c>
      <c r="M12" s="20">
        <f t="shared" ca="1" si="4"/>
        <v>-0.21666666666666667</v>
      </c>
      <c r="N12" s="16">
        <f>130000+231500</f>
        <v>361500</v>
      </c>
      <c r="O12" s="14">
        <f t="shared" ca="1" si="3"/>
        <v>283175</v>
      </c>
      <c r="P12" s="24">
        <f t="shared" ca="1" si="1"/>
        <v>754935</v>
      </c>
    </row>
    <row r="13" spans="1:20" s="12" customFormat="1" x14ac:dyDescent="0.25">
      <c r="B13" s="23" t="s">
        <v>28</v>
      </c>
      <c r="C13" s="11" t="s">
        <v>29</v>
      </c>
      <c r="D13" s="11" t="s">
        <v>228</v>
      </c>
      <c r="E13" s="11" t="s">
        <v>215</v>
      </c>
      <c r="F13" s="11"/>
      <c r="G13" s="11" t="s">
        <v>222</v>
      </c>
      <c r="H13" s="11" t="s">
        <v>10</v>
      </c>
      <c r="I13" s="11">
        <v>699282</v>
      </c>
      <c r="J13" s="14">
        <f>495000</f>
        <v>495000</v>
      </c>
      <c r="K13" s="14">
        <v>494368</v>
      </c>
      <c r="L13" s="19">
        <v>45895</v>
      </c>
      <c r="M13" s="20">
        <f t="shared" ca="1" si="4"/>
        <v>-9.9166666666666667E-2</v>
      </c>
      <c r="N13" s="14">
        <v>115813</v>
      </c>
      <c r="O13" s="14">
        <f t="shared" ca="1" si="3"/>
        <v>104328.21083333333</v>
      </c>
      <c r="P13" s="24">
        <f t="shared" ca="1" si="1"/>
        <v>598696.21083333332</v>
      </c>
    </row>
    <row r="14" spans="1:20" s="12" customFormat="1" x14ac:dyDescent="0.25">
      <c r="B14" s="23" t="s">
        <v>30</v>
      </c>
      <c r="C14" s="11" t="s">
        <v>29</v>
      </c>
      <c r="D14" s="11" t="s">
        <v>228</v>
      </c>
      <c r="E14" s="11" t="s">
        <v>215</v>
      </c>
      <c r="F14" s="11"/>
      <c r="G14" s="11" t="s">
        <v>222</v>
      </c>
      <c r="H14" s="11" t="s">
        <v>10</v>
      </c>
      <c r="I14" s="11">
        <v>699283</v>
      </c>
      <c r="J14" s="14">
        <f t="shared" ref="J14:J16" si="5">495000</f>
        <v>495000</v>
      </c>
      <c r="K14" s="14">
        <v>494368</v>
      </c>
      <c r="L14" s="19">
        <v>45895</v>
      </c>
      <c r="M14" s="20">
        <f t="shared" ca="1" si="4"/>
        <v>-9.9166666666666667E-2</v>
      </c>
      <c r="N14" s="14">
        <v>115814</v>
      </c>
      <c r="O14" s="14">
        <f t="shared" ca="1" si="3"/>
        <v>104329.11166666666</v>
      </c>
      <c r="P14" s="24">
        <f t="shared" ca="1" si="1"/>
        <v>598697.11166666669</v>
      </c>
    </row>
    <row r="15" spans="1:20" s="12" customFormat="1" x14ac:dyDescent="0.25">
      <c r="B15" s="23" t="s">
        <v>31</v>
      </c>
      <c r="C15" s="11" t="s">
        <v>29</v>
      </c>
      <c r="D15" s="11" t="s">
        <v>228</v>
      </c>
      <c r="E15" s="11" t="s">
        <v>215</v>
      </c>
      <c r="F15" s="11"/>
      <c r="G15" s="11" t="s">
        <v>222</v>
      </c>
      <c r="H15" s="11" t="s">
        <v>10</v>
      </c>
      <c r="I15" s="11">
        <v>699825</v>
      </c>
      <c r="J15" s="14">
        <f t="shared" si="5"/>
        <v>495000</v>
      </c>
      <c r="K15" s="14">
        <v>494368</v>
      </c>
      <c r="L15" s="19">
        <v>45895</v>
      </c>
      <c r="M15" s="20">
        <f t="shared" ca="1" si="4"/>
        <v>-9.9166666666666667E-2</v>
      </c>
      <c r="N15" s="14">
        <v>115815</v>
      </c>
      <c r="O15" s="14">
        <f t="shared" ca="1" si="3"/>
        <v>104330.0125</v>
      </c>
      <c r="P15" s="24">
        <f t="shared" ca="1" si="1"/>
        <v>598698.01249999995</v>
      </c>
    </row>
    <row r="16" spans="1:20" s="12" customFormat="1" x14ac:dyDescent="0.25">
      <c r="B16" s="23" t="s">
        <v>32</v>
      </c>
      <c r="C16" s="11" t="s">
        <v>29</v>
      </c>
      <c r="D16" s="11" t="s">
        <v>228</v>
      </c>
      <c r="E16" s="11" t="s">
        <v>215</v>
      </c>
      <c r="F16" s="11"/>
      <c r="G16" s="11" t="s">
        <v>222</v>
      </c>
      <c r="H16" s="11" t="s">
        <v>10</v>
      </c>
      <c r="I16" s="11">
        <v>700628</v>
      </c>
      <c r="J16" s="14">
        <f t="shared" si="5"/>
        <v>495000</v>
      </c>
      <c r="K16" s="14">
        <v>494368</v>
      </c>
      <c r="L16" s="19">
        <v>45895</v>
      </c>
      <c r="M16" s="20">
        <f t="shared" ca="1" si="4"/>
        <v>-9.9166666666666667E-2</v>
      </c>
      <c r="N16" s="14">
        <v>115816</v>
      </c>
      <c r="O16" s="14">
        <f t="shared" ca="1" si="3"/>
        <v>104330.91333333333</v>
      </c>
      <c r="P16" s="24">
        <f t="shared" ca="1" si="1"/>
        <v>598698.91333333333</v>
      </c>
    </row>
    <row r="17" spans="1:16" s="12" customFormat="1" ht="30" x14ac:dyDescent="0.25">
      <c r="B17" s="23" t="s">
        <v>33</v>
      </c>
      <c r="C17" s="11" t="s">
        <v>34</v>
      </c>
      <c r="D17" s="65" t="s">
        <v>35</v>
      </c>
      <c r="E17" s="11" t="s">
        <v>216</v>
      </c>
      <c r="F17" s="11"/>
      <c r="G17" s="11" t="s">
        <v>222</v>
      </c>
      <c r="H17" s="11">
        <v>2011</v>
      </c>
      <c r="I17" s="11" t="s">
        <v>7</v>
      </c>
      <c r="J17" s="15">
        <f>100000+10000+10000</f>
        <v>120000</v>
      </c>
      <c r="K17" s="14">
        <v>116088</v>
      </c>
      <c r="L17" s="19">
        <v>44362</v>
      </c>
      <c r="M17" s="20">
        <f t="shared" ca="1" si="4"/>
        <v>-0.52500000000000002</v>
      </c>
      <c r="N17" s="14">
        <v>50000</v>
      </c>
      <c r="O17" s="14">
        <f t="shared" ca="1" si="3"/>
        <v>23750</v>
      </c>
      <c r="P17" s="24">
        <f t="shared" ca="1" si="1"/>
        <v>139838</v>
      </c>
    </row>
    <row r="18" spans="1:16" s="12" customFormat="1" x14ac:dyDescent="0.25">
      <c r="B18" s="23" t="s">
        <v>36</v>
      </c>
      <c r="C18" s="11" t="s">
        <v>34</v>
      </c>
      <c r="D18" s="65" t="s">
        <v>37</v>
      </c>
      <c r="E18" s="11" t="s">
        <v>216</v>
      </c>
      <c r="F18" s="11"/>
      <c r="G18" s="11" t="s">
        <v>222</v>
      </c>
      <c r="H18" s="11" t="s">
        <v>38</v>
      </c>
      <c r="I18" s="11" t="s">
        <v>7</v>
      </c>
      <c r="J18" s="18">
        <v>120000</v>
      </c>
      <c r="K18" s="14">
        <v>90847</v>
      </c>
      <c r="L18" s="19">
        <v>44362</v>
      </c>
      <c r="M18" s="20">
        <f t="shared" ca="1" si="4"/>
        <v>-0.52500000000000002</v>
      </c>
      <c r="N18" s="15">
        <v>400000</v>
      </c>
      <c r="O18" s="14">
        <f t="shared" ca="1" si="3"/>
        <v>190000</v>
      </c>
      <c r="P18" s="24">
        <f t="shared" ca="1" si="1"/>
        <v>280847</v>
      </c>
    </row>
    <row r="19" spans="1:16" s="12" customFormat="1" x14ac:dyDescent="0.25">
      <c r="B19" s="23" t="s">
        <v>39</v>
      </c>
      <c r="C19" s="11" t="s">
        <v>40</v>
      </c>
      <c r="D19" s="65" t="s">
        <v>41</v>
      </c>
      <c r="E19" s="11" t="s">
        <v>215</v>
      </c>
      <c r="F19" s="11"/>
      <c r="G19" s="11" t="s">
        <v>222</v>
      </c>
      <c r="H19" s="11" t="s">
        <v>38</v>
      </c>
      <c r="I19" s="11" t="s">
        <v>7</v>
      </c>
      <c r="J19" s="18">
        <v>200000</v>
      </c>
      <c r="K19" s="14">
        <v>162893</v>
      </c>
      <c r="L19" s="19">
        <v>44362</v>
      </c>
      <c r="M19" s="20">
        <f t="shared" ca="1" si="4"/>
        <v>-0.52500000000000002</v>
      </c>
      <c r="N19" s="15">
        <v>250000</v>
      </c>
      <c r="O19" s="14">
        <f t="shared" ca="1" si="3"/>
        <v>118750</v>
      </c>
      <c r="P19" s="24">
        <f t="shared" ca="1" si="1"/>
        <v>281643</v>
      </c>
    </row>
    <row r="20" spans="1:16" s="12" customFormat="1" ht="30" x14ac:dyDescent="0.25">
      <c r="A20" s="13"/>
      <c r="B20" s="23" t="s">
        <v>42</v>
      </c>
      <c r="C20" s="11" t="s">
        <v>40</v>
      </c>
      <c r="D20" s="65" t="s">
        <v>43</v>
      </c>
      <c r="E20" s="11" t="s">
        <v>215</v>
      </c>
      <c r="F20" s="11"/>
      <c r="G20" s="11" t="s">
        <v>222</v>
      </c>
      <c r="H20" s="11" t="s">
        <v>44</v>
      </c>
      <c r="I20" s="11" t="s">
        <v>7</v>
      </c>
      <c r="J20" s="15">
        <f>390000-61000-50000</f>
        <v>279000</v>
      </c>
      <c r="K20" s="15">
        <v>220524</v>
      </c>
      <c r="L20" s="19">
        <v>44420</v>
      </c>
      <c r="M20" s="20">
        <f t="shared" ca="1" si="4"/>
        <v>-0.50916666666666666</v>
      </c>
      <c r="N20" s="15">
        <f>61000+50000</f>
        <v>111000</v>
      </c>
      <c r="O20" s="14">
        <f t="shared" ca="1" si="3"/>
        <v>54482.5</v>
      </c>
      <c r="P20" s="24">
        <f t="shared" ca="1" si="1"/>
        <v>275006.5</v>
      </c>
    </row>
    <row r="21" spans="1:16" s="12" customFormat="1" x14ac:dyDescent="0.25">
      <c r="A21" s="13"/>
      <c r="B21" s="23" t="s">
        <v>45</v>
      </c>
      <c r="C21" s="11" t="s">
        <v>40</v>
      </c>
      <c r="D21" s="65" t="s">
        <v>46</v>
      </c>
      <c r="E21" s="11" t="s">
        <v>215</v>
      </c>
      <c r="F21" s="11"/>
      <c r="G21" s="11" t="s">
        <v>222</v>
      </c>
      <c r="H21" s="11">
        <v>2025</v>
      </c>
      <c r="I21" s="11" t="s">
        <v>7</v>
      </c>
      <c r="J21" s="18">
        <f>415000+12000-75000</f>
        <v>352000</v>
      </c>
      <c r="K21" s="14">
        <v>338112</v>
      </c>
      <c r="L21" s="19">
        <v>45712</v>
      </c>
      <c r="M21" s="20">
        <f t="shared" ca="1" si="4"/>
        <v>-0.15</v>
      </c>
      <c r="N21" s="15">
        <v>75000</v>
      </c>
      <c r="O21" s="14">
        <f t="shared" ca="1" si="3"/>
        <v>63750</v>
      </c>
      <c r="P21" s="24">
        <f t="shared" ca="1" si="1"/>
        <v>401862</v>
      </c>
    </row>
    <row r="22" spans="1:16" s="12" customFormat="1" x14ac:dyDescent="0.25">
      <c r="B22" s="23" t="s">
        <v>47</v>
      </c>
      <c r="C22" s="11" t="s">
        <v>48</v>
      </c>
      <c r="D22" s="65" t="s">
        <v>89</v>
      </c>
      <c r="E22" s="11" t="s">
        <v>215</v>
      </c>
      <c r="F22" s="11"/>
      <c r="G22" s="11" t="s">
        <v>222</v>
      </c>
      <c r="H22" s="11" t="s">
        <v>10</v>
      </c>
      <c r="I22" s="11">
        <v>700199</v>
      </c>
      <c r="J22" s="14">
        <f>420000</f>
        <v>420000</v>
      </c>
      <c r="K22" s="14">
        <v>439697</v>
      </c>
      <c r="L22" s="19">
        <v>45897</v>
      </c>
      <c r="M22" s="20">
        <f t="shared" ca="1" si="4"/>
        <v>-9.8333333333333342E-2</v>
      </c>
      <c r="N22" s="15">
        <v>730000</v>
      </c>
      <c r="O22" s="14">
        <f t="shared" ca="1" si="3"/>
        <v>658216.66666666663</v>
      </c>
      <c r="P22" s="24">
        <f t="shared" ca="1" si="1"/>
        <v>1097913.6666666665</v>
      </c>
    </row>
    <row r="23" spans="1:16" s="12" customFormat="1" x14ac:dyDescent="0.25">
      <c r="B23" s="23" t="s">
        <v>49</v>
      </c>
      <c r="C23" s="11" t="s">
        <v>48</v>
      </c>
      <c r="D23" s="65" t="s">
        <v>90</v>
      </c>
      <c r="E23" s="11" t="s">
        <v>215</v>
      </c>
      <c r="F23" s="11"/>
      <c r="G23" s="11" t="s">
        <v>222</v>
      </c>
      <c r="H23" s="11">
        <v>2026</v>
      </c>
      <c r="I23" s="11">
        <v>726136</v>
      </c>
      <c r="J23" s="16">
        <f>355000+35000*24.35%</f>
        <v>363522.5</v>
      </c>
      <c r="K23" s="16">
        <v>359752</v>
      </c>
      <c r="L23" s="19">
        <v>44362</v>
      </c>
      <c r="M23" s="20">
        <f t="shared" ca="1" si="4"/>
        <v>-0.52500000000000002</v>
      </c>
      <c r="N23" s="15">
        <v>350000</v>
      </c>
      <c r="O23" s="14">
        <f t="shared" ca="1" si="3"/>
        <v>166250</v>
      </c>
      <c r="P23" s="24">
        <f t="shared" ca="1" si="1"/>
        <v>526002</v>
      </c>
    </row>
    <row r="24" spans="1:16" s="12" customFormat="1" x14ac:dyDescent="0.25">
      <c r="B24" s="23" t="s">
        <v>50</v>
      </c>
      <c r="C24" s="11" t="s">
        <v>48</v>
      </c>
      <c r="D24" s="65"/>
      <c r="E24" s="11" t="s">
        <v>215</v>
      </c>
      <c r="F24" s="11"/>
      <c r="G24" s="11" t="s">
        <v>222</v>
      </c>
      <c r="H24" s="11"/>
      <c r="I24" s="11" t="s">
        <v>6</v>
      </c>
      <c r="J24" s="15">
        <v>315000</v>
      </c>
      <c r="K24" s="15">
        <v>305453</v>
      </c>
      <c r="L24" s="19">
        <v>46235</v>
      </c>
      <c r="M24" s="20">
        <f t="shared" ca="1" si="4"/>
        <v>-5.0000000000000001E-3</v>
      </c>
      <c r="N24" s="15">
        <v>200000</v>
      </c>
      <c r="O24" s="14">
        <f t="shared" ca="1" si="3"/>
        <v>199000</v>
      </c>
      <c r="P24" s="24">
        <f t="shared" ca="1" si="1"/>
        <v>504453</v>
      </c>
    </row>
    <row r="25" spans="1:16" s="12" customFormat="1" x14ac:dyDescent="0.25">
      <c r="B25" s="23" t="s">
        <v>51</v>
      </c>
      <c r="C25" s="11" t="s">
        <v>52</v>
      </c>
      <c r="D25" s="11" t="s">
        <v>229</v>
      </c>
      <c r="E25" s="11" t="s">
        <v>215</v>
      </c>
      <c r="F25" s="11"/>
      <c r="G25" s="11" t="s">
        <v>222</v>
      </c>
      <c r="H25" s="11">
        <v>2026</v>
      </c>
      <c r="I25" s="11">
        <v>726215</v>
      </c>
      <c r="J25" s="16">
        <f>748000+35000*51.3%</f>
        <v>765955</v>
      </c>
      <c r="K25" s="16">
        <v>703009</v>
      </c>
      <c r="L25" s="19">
        <v>46142</v>
      </c>
      <c r="M25" s="20">
        <f t="shared" ca="1" si="4"/>
        <v>-3.0833333333333334E-2</v>
      </c>
      <c r="N25" s="14">
        <f>196000+262000</f>
        <v>458000</v>
      </c>
      <c r="O25" s="14">
        <f t="shared" ca="1" si="3"/>
        <v>443878.33333333331</v>
      </c>
      <c r="P25" s="24">
        <f t="shared" ca="1" si="1"/>
        <v>1146887.3333333333</v>
      </c>
    </row>
    <row r="26" spans="1:16" s="12" customFormat="1" x14ac:dyDescent="0.25">
      <c r="A26" s="13"/>
      <c r="B26" s="25" t="s">
        <v>58</v>
      </c>
      <c r="C26" s="11" t="s">
        <v>59</v>
      </c>
      <c r="D26" s="11" t="s">
        <v>230</v>
      </c>
      <c r="E26" s="11" t="s">
        <v>217</v>
      </c>
      <c r="F26" s="11"/>
      <c r="G26" s="11" t="s">
        <v>223</v>
      </c>
      <c r="H26" s="11" t="s">
        <v>53</v>
      </c>
      <c r="I26" s="11" t="s">
        <v>6</v>
      </c>
      <c r="J26" s="14">
        <v>153000</v>
      </c>
      <c r="K26" s="14">
        <v>144999</v>
      </c>
      <c r="L26" s="11"/>
      <c r="M26" s="20" t="str">
        <f t="shared" ca="1" si="4"/>
        <v>-</v>
      </c>
      <c r="N26" s="14"/>
      <c r="O26" s="14">
        <f t="shared" ca="1" si="3"/>
        <v>0</v>
      </c>
      <c r="P26" s="24">
        <f t="shared" ca="1" si="1"/>
        <v>144999</v>
      </c>
    </row>
    <row r="27" spans="1:16" s="12" customFormat="1" x14ac:dyDescent="0.25">
      <c r="A27" s="13"/>
      <c r="B27" s="23" t="s">
        <v>60</v>
      </c>
      <c r="C27" s="11" t="s">
        <v>61</v>
      </c>
      <c r="D27" s="11" t="s">
        <v>231</v>
      </c>
      <c r="E27" s="11" t="s">
        <v>215</v>
      </c>
      <c r="F27" s="11"/>
      <c r="G27" s="11" t="s">
        <v>223</v>
      </c>
      <c r="H27" s="11" t="s">
        <v>57</v>
      </c>
      <c r="I27" s="11">
        <v>60901</v>
      </c>
      <c r="J27" s="14">
        <v>62990</v>
      </c>
      <c r="K27" s="14">
        <v>51770</v>
      </c>
      <c r="L27" s="11"/>
      <c r="M27" s="20" t="str">
        <f t="shared" ca="1" si="4"/>
        <v>-</v>
      </c>
      <c r="N27" s="14"/>
      <c r="O27" s="14">
        <f t="shared" ca="1" si="3"/>
        <v>0</v>
      </c>
      <c r="P27" s="24">
        <f t="shared" ca="1" si="1"/>
        <v>51770</v>
      </c>
    </row>
    <row r="28" spans="1:16" s="12" customFormat="1" x14ac:dyDescent="0.25">
      <c r="A28" s="13"/>
      <c r="B28" s="23" t="s">
        <v>62</v>
      </c>
      <c r="C28" s="11" t="s">
        <v>63</v>
      </c>
      <c r="D28" s="11" t="s">
        <v>232</v>
      </c>
      <c r="E28" s="11" t="s">
        <v>218</v>
      </c>
      <c r="F28" s="11"/>
      <c r="G28" s="11" t="s">
        <v>223</v>
      </c>
      <c r="H28" s="11" t="s">
        <v>64</v>
      </c>
      <c r="I28" s="11" t="s">
        <v>6</v>
      </c>
      <c r="J28" s="15">
        <f>48*4825</f>
        <v>231600</v>
      </c>
      <c r="K28" s="15">
        <v>204280</v>
      </c>
      <c r="L28" s="11"/>
      <c r="M28" s="20" t="str">
        <f t="shared" ca="1" si="4"/>
        <v>-</v>
      </c>
      <c r="N28" s="15"/>
      <c r="O28" s="15">
        <f t="shared" ca="1" si="3"/>
        <v>0</v>
      </c>
      <c r="P28" s="26">
        <f t="shared" ca="1" si="1"/>
        <v>204280</v>
      </c>
    </row>
    <row r="29" spans="1:16" s="12" customFormat="1" x14ac:dyDescent="0.25">
      <c r="A29" s="13"/>
      <c r="B29" s="23" t="s">
        <v>65</v>
      </c>
      <c r="C29" s="11" t="s">
        <v>66</v>
      </c>
      <c r="D29" s="11" t="s">
        <v>233</v>
      </c>
      <c r="E29" s="11" t="s">
        <v>219</v>
      </c>
      <c r="F29" s="11"/>
      <c r="G29" s="11" t="s">
        <v>223</v>
      </c>
      <c r="H29" s="11" t="s">
        <v>10</v>
      </c>
      <c r="I29" s="11">
        <v>109879</v>
      </c>
      <c r="J29" s="15">
        <v>312550</v>
      </c>
      <c r="K29" s="14">
        <v>303295</v>
      </c>
      <c r="L29" s="11"/>
      <c r="M29" s="20" t="str">
        <f t="shared" ca="1" si="4"/>
        <v>-</v>
      </c>
      <c r="N29" s="15"/>
      <c r="O29" s="14">
        <f t="shared" ca="1" si="3"/>
        <v>0</v>
      </c>
      <c r="P29" s="24">
        <f t="shared" ca="1" si="1"/>
        <v>303295</v>
      </c>
    </row>
    <row r="30" spans="1:16" s="12" customFormat="1" x14ac:dyDescent="0.25">
      <c r="A30" s="13"/>
      <c r="B30" s="23" t="s">
        <v>67</v>
      </c>
      <c r="C30" s="11" t="s">
        <v>66</v>
      </c>
      <c r="D30" s="11" t="s">
        <v>233</v>
      </c>
      <c r="E30" s="11" t="s">
        <v>219</v>
      </c>
      <c r="F30" s="11"/>
      <c r="G30" s="11" t="s">
        <v>223</v>
      </c>
      <c r="H30" s="11" t="s">
        <v>10</v>
      </c>
      <c r="I30" s="11">
        <v>109886</v>
      </c>
      <c r="J30" s="15">
        <v>312550</v>
      </c>
      <c r="K30" s="14">
        <v>303295</v>
      </c>
      <c r="L30" s="11"/>
      <c r="M30" s="20" t="str">
        <f t="shared" ca="1" si="4"/>
        <v>-</v>
      </c>
      <c r="N30" s="15"/>
      <c r="O30" s="14">
        <f t="shared" ca="1" si="3"/>
        <v>0</v>
      </c>
      <c r="P30" s="24">
        <f t="shared" ca="1" si="1"/>
        <v>303295</v>
      </c>
    </row>
    <row r="31" spans="1:16" s="12" customFormat="1" x14ac:dyDescent="0.25">
      <c r="A31" s="13"/>
      <c r="B31" s="23" t="s">
        <v>68</v>
      </c>
      <c r="C31" s="11" t="s">
        <v>69</v>
      </c>
      <c r="D31" s="11" t="s">
        <v>234</v>
      </c>
      <c r="E31" s="11" t="s">
        <v>215</v>
      </c>
      <c r="F31" s="11"/>
      <c r="G31" s="11" t="s">
        <v>223</v>
      </c>
      <c r="H31" s="11" t="s">
        <v>26</v>
      </c>
      <c r="I31" s="11">
        <v>672185</v>
      </c>
      <c r="J31" s="14">
        <v>77256.5</v>
      </c>
      <c r="K31" s="14">
        <v>75643</v>
      </c>
      <c r="L31" s="11"/>
      <c r="M31" s="20" t="str">
        <f t="shared" ca="1" si="4"/>
        <v>-</v>
      </c>
      <c r="N31" s="14"/>
      <c r="O31" s="14">
        <f t="shared" ca="1" si="3"/>
        <v>0</v>
      </c>
      <c r="P31" s="24">
        <f t="shared" ca="1" si="1"/>
        <v>75643</v>
      </c>
    </row>
    <row r="32" spans="1:16" s="12" customFormat="1" x14ac:dyDescent="0.25">
      <c r="A32" s="13"/>
      <c r="B32" s="23" t="s">
        <v>70</v>
      </c>
      <c r="C32" s="11" t="s">
        <v>69</v>
      </c>
      <c r="D32" s="11" t="s">
        <v>234</v>
      </c>
      <c r="E32" s="11" t="s">
        <v>215</v>
      </c>
      <c r="F32" s="11"/>
      <c r="G32" s="11" t="s">
        <v>223</v>
      </c>
      <c r="H32" s="11" t="s">
        <v>54</v>
      </c>
      <c r="I32" s="11">
        <v>736645</v>
      </c>
      <c r="J32" s="14">
        <v>78867.61</v>
      </c>
      <c r="K32" s="14">
        <v>75643</v>
      </c>
      <c r="L32" s="11"/>
      <c r="M32" s="20" t="str">
        <f t="shared" ca="1" si="4"/>
        <v>-</v>
      </c>
      <c r="N32" s="15"/>
      <c r="O32" s="14">
        <f t="shared" ca="1" si="3"/>
        <v>0</v>
      </c>
      <c r="P32" s="24">
        <f t="shared" ca="1" si="1"/>
        <v>75643</v>
      </c>
    </row>
    <row r="33" spans="1:16" s="12" customFormat="1" x14ac:dyDescent="0.25">
      <c r="A33" s="13"/>
      <c r="B33" s="23" t="s">
        <v>71</v>
      </c>
      <c r="C33" s="11" t="s">
        <v>69</v>
      </c>
      <c r="D33" s="11" t="s">
        <v>234</v>
      </c>
      <c r="E33" s="11" t="s">
        <v>215</v>
      </c>
      <c r="F33" s="11"/>
      <c r="G33" s="11" t="s">
        <v>223</v>
      </c>
      <c r="H33" s="11" t="s">
        <v>54</v>
      </c>
      <c r="I33" s="11">
        <v>775452</v>
      </c>
      <c r="J33" s="14">
        <v>82186.509999999995</v>
      </c>
      <c r="K33" s="14">
        <v>75643</v>
      </c>
      <c r="L33" s="11"/>
      <c r="M33" s="20" t="str">
        <f t="shared" ca="1" si="4"/>
        <v>-</v>
      </c>
      <c r="N33" s="14"/>
      <c r="O33" s="14">
        <f t="shared" ca="1" si="3"/>
        <v>0</v>
      </c>
      <c r="P33" s="24">
        <f t="shared" ca="1" si="1"/>
        <v>75643</v>
      </c>
    </row>
    <row r="34" spans="1:16" s="12" customFormat="1" x14ac:dyDescent="0.25">
      <c r="A34" s="13"/>
      <c r="B34" s="23" t="s">
        <v>72</v>
      </c>
      <c r="C34" s="11" t="s">
        <v>69</v>
      </c>
      <c r="D34" s="5" t="s">
        <v>234</v>
      </c>
      <c r="E34" s="11" t="s">
        <v>215</v>
      </c>
      <c r="F34" s="11"/>
      <c r="G34" s="11" t="s">
        <v>223</v>
      </c>
      <c r="H34" s="11" t="s">
        <v>55</v>
      </c>
      <c r="I34" s="5">
        <v>961871</v>
      </c>
      <c r="J34" s="16">
        <v>82143.600000000006</v>
      </c>
      <c r="K34" s="16">
        <v>81531</v>
      </c>
      <c r="L34" s="11"/>
      <c r="M34" s="20" t="str">
        <f t="shared" ca="1" si="4"/>
        <v>-</v>
      </c>
      <c r="N34" s="15"/>
      <c r="O34" s="14">
        <f t="shared" ca="1" si="3"/>
        <v>0</v>
      </c>
      <c r="P34" s="24">
        <f t="shared" ca="1" si="1"/>
        <v>81531</v>
      </c>
    </row>
    <row r="35" spans="1:16" s="12" customFormat="1" x14ac:dyDescent="0.25">
      <c r="A35" s="13"/>
      <c r="B35" s="23" t="s">
        <v>73</v>
      </c>
      <c r="C35" s="11" t="s">
        <v>69</v>
      </c>
      <c r="D35" s="5" t="s">
        <v>234</v>
      </c>
      <c r="E35" s="11" t="s">
        <v>215</v>
      </c>
      <c r="F35" s="11"/>
      <c r="G35" s="11" t="s">
        <v>223</v>
      </c>
      <c r="H35" s="11" t="s">
        <v>55</v>
      </c>
      <c r="I35" s="5">
        <v>961872</v>
      </c>
      <c r="J35" s="16">
        <v>82143.600000000006</v>
      </c>
      <c r="K35" s="16">
        <v>81531</v>
      </c>
      <c r="L35" s="11"/>
      <c r="M35" s="20" t="str">
        <f t="shared" ca="1" si="4"/>
        <v>-</v>
      </c>
      <c r="N35" s="15"/>
      <c r="O35" s="14">
        <f t="shared" ca="1" si="3"/>
        <v>0</v>
      </c>
      <c r="P35" s="24">
        <f t="shared" ca="1" si="1"/>
        <v>81531</v>
      </c>
    </row>
    <row r="36" spans="1:16" s="12" customFormat="1" x14ac:dyDescent="0.25">
      <c r="A36" s="13"/>
      <c r="B36" s="23" t="s">
        <v>74</v>
      </c>
      <c r="C36" s="11" t="s">
        <v>75</v>
      </c>
      <c r="D36" s="11" t="s">
        <v>235</v>
      </c>
      <c r="E36" s="11" t="s">
        <v>220</v>
      </c>
      <c r="F36" s="11"/>
      <c r="G36" s="11" t="s">
        <v>223</v>
      </c>
      <c r="H36" s="11">
        <v>2023</v>
      </c>
      <c r="I36" s="11">
        <v>6242232</v>
      </c>
      <c r="J36" s="14">
        <v>101681.98</v>
      </c>
      <c r="K36" s="14">
        <v>81644</v>
      </c>
      <c r="L36" s="11"/>
      <c r="M36" s="20" t="str">
        <f t="shared" ca="1" si="4"/>
        <v>-</v>
      </c>
      <c r="N36" s="14"/>
      <c r="O36" s="14">
        <f t="shared" ca="1" si="3"/>
        <v>0</v>
      </c>
      <c r="P36" s="24">
        <f t="shared" ca="1" si="1"/>
        <v>81644</v>
      </c>
    </row>
    <row r="37" spans="1:16" s="12" customFormat="1" x14ac:dyDescent="0.25">
      <c r="A37" s="13"/>
      <c r="B37" s="23" t="s">
        <v>76</v>
      </c>
      <c r="C37" s="11" t="s">
        <v>75</v>
      </c>
      <c r="D37" s="11" t="s">
        <v>236</v>
      </c>
      <c r="E37" s="11" t="s">
        <v>220</v>
      </c>
      <c r="F37" s="11"/>
      <c r="G37" s="11" t="s">
        <v>223</v>
      </c>
      <c r="H37" s="11">
        <v>2023</v>
      </c>
      <c r="I37" s="11">
        <v>6411826</v>
      </c>
      <c r="J37" s="14">
        <v>102992.29</v>
      </c>
      <c r="K37" s="14">
        <v>89461</v>
      </c>
      <c r="L37" s="11"/>
      <c r="M37" s="20" t="str">
        <f t="shared" ca="1" si="4"/>
        <v>-</v>
      </c>
      <c r="N37" s="14"/>
      <c r="O37" s="14">
        <f t="shared" ca="1" si="3"/>
        <v>0</v>
      </c>
      <c r="P37" s="24">
        <f t="shared" ca="1" si="1"/>
        <v>89461</v>
      </c>
    </row>
    <row r="38" spans="1:16" s="12" customFormat="1" ht="15.75" customHeight="1" x14ac:dyDescent="0.25">
      <c r="A38" s="13"/>
      <c r="B38" s="23" t="s">
        <v>77</v>
      </c>
      <c r="C38" s="11" t="s">
        <v>75</v>
      </c>
      <c r="D38" s="11" t="s">
        <v>236</v>
      </c>
      <c r="E38" s="11" t="s">
        <v>220</v>
      </c>
      <c r="F38" s="11"/>
      <c r="G38" s="11" t="s">
        <v>223</v>
      </c>
      <c r="H38" s="11" t="s">
        <v>78</v>
      </c>
      <c r="I38" s="11">
        <v>6541809</v>
      </c>
      <c r="J38" s="14">
        <v>98022.77</v>
      </c>
      <c r="K38" s="14">
        <v>89461</v>
      </c>
      <c r="L38" s="11"/>
      <c r="M38" s="20" t="str">
        <f t="shared" ca="1" si="4"/>
        <v>-</v>
      </c>
      <c r="N38" s="14"/>
      <c r="O38" s="14">
        <f t="shared" ca="1" si="3"/>
        <v>0</v>
      </c>
      <c r="P38" s="24">
        <f t="shared" ca="1" si="1"/>
        <v>89461</v>
      </c>
    </row>
    <row r="39" spans="1:16" s="12" customFormat="1" x14ac:dyDescent="0.25">
      <c r="A39" s="13"/>
      <c r="B39" s="23" t="s">
        <v>79</v>
      </c>
      <c r="C39" s="11" t="s">
        <v>75</v>
      </c>
      <c r="D39" s="11" t="s">
        <v>237</v>
      </c>
      <c r="E39" s="11" t="s">
        <v>220</v>
      </c>
      <c r="F39" s="11"/>
      <c r="G39" s="11" t="s">
        <v>223</v>
      </c>
      <c r="H39" s="11" t="s">
        <v>26</v>
      </c>
      <c r="I39" s="11">
        <v>6872066</v>
      </c>
      <c r="J39" s="14">
        <v>89584</v>
      </c>
      <c r="K39" s="14">
        <v>92039</v>
      </c>
      <c r="L39" s="11"/>
      <c r="M39" s="20" t="str">
        <f t="shared" ca="1" si="4"/>
        <v>-</v>
      </c>
      <c r="N39" s="14"/>
      <c r="O39" s="14">
        <f t="shared" ca="1" si="3"/>
        <v>0</v>
      </c>
      <c r="P39" s="24">
        <f t="shared" ca="1" si="1"/>
        <v>92039</v>
      </c>
    </row>
    <row r="40" spans="1:16" s="12" customFormat="1" x14ac:dyDescent="0.25">
      <c r="A40" s="13"/>
      <c r="B40" s="23" t="s">
        <v>80</v>
      </c>
      <c r="C40" s="11" t="s">
        <v>75</v>
      </c>
      <c r="D40" s="11" t="s">
        <v>238</v>
      </c>
      <c r="E40" s="11" t="s">
        <v>220</v>
      </c>
      <c r="F40" s="11"/>
      <c r="G40" s="11" t="s">
        <v>223</v>
      </c>
      <c r="H40" s="11" t="s">
        <v>55</v>
      </c>
      <c r="I40" s="11">
        <v>8238773</v>
      </c>
      <c r="J40" s="14">
        <v>113270.39999999999</v>
      </c>
      <c r="K40" s="14">
        <v>98703</v>
      </c>
      <c r="L40" s="11"/>
      <c r="M40" s="20" t="str">
        <f t="shared" ca="1" si="4"/>
        <v>-</v>
      </c>
      <c r="N40" s="14"/>
      <c r="O40" s="14">
        <f t="shared" ca="1" si="3"/>
        <v>0</v>
      </c>
      <c r="P40" s="24">
        <f t="shared" ca="1" si="1"/>
        <v>98703</v>
      </c>
    </row>
    <row r="41" spans="1:16" s="12" customFormat="1" x14ac:dyDescent="0.25">
      <c r="A41" s="13"/>
      <c r="B41" s="23" t="s">
        <v>81</v>
      </c>
      <c r="C41" s="11" t="s">
        <v>75</v>
      </c>
      <c r="D41" s="11" t="s">
        <v>238</v>
      </c>
      <c r="E41" s="11" t="s">
        <v>220</v>
      </c>
      <c r="F41" s="11"/>
      <c r="G41" s="11" t="s">
        <v>223</v>
      </c>
      <c r="H41" s="11" t="s">
        <v>55</v>
      </c>
      <c r="I41" s="11">
        <v>8440887</v>
      </c>
      <c r="J41" s="14">
        <v>113932.8</v>
      </c>
      <c r="K41" s="14">
        <v>98703</v>
      </c>
      <c r="L41" s="11"/>
      <c r="M41" s="20" t="str">
        <f t="shared" ca="1" si="4"/>
        <v>-</v>
      </c>
      <c r="N41" s="14"/>
      <c r="O41" s="14">
        <f t="shared" ca="1" si="3"/>
        <v>0</v>
      </c>
      <c r="P41" s="24">
        <f t="shared" ca="1" si="1"/>
        <v>98703</v>
      </c>
    </row>
    <row r="42" spans="1:16" s="12" customFormat="1" x14ac:dyDescent="0.25">
      <c r="A42" s="13"/>
      <c r="B42" s="25" t="s">
        <v>82</v>
      </c>
      <c r="C42" s="5" t="s">
        <v>75</v>
      </c>
      <c r="D42" s="5" t="s">
        <v>239</v>
      </c>
      <c r="E42" s="11" t="s">
        <v>220</v>
      </c>
      <c r="F42" s="11"/>
      <c r="G42" s="11" t="s">
        <v>223</v>
      </c>
      <c r="H42" s="5" t="s">
        <v>56</v>
      </c>
      <c r="I42" s="5">
        <v>8583644</v>
      </c>
      <c r="J42" s="15">
        <v>112156.32</v>
      </c>
      <c r="K42" s="15">
        <v>111062</v>
      </c>
      <c r="L42" s="5"/>
      <c r="M42" s="20" t="str">
        <f t="shared" ca="1" si="4"/>
        <v>-</v>
      </c>
      <c r="N42" s="15"/>
      <c r="O42" s="14">
        <f t="shared" ca="1" si="3"/>
        <v>0</v>
      </c>
      <c r="P42" s="24">
        <f t="shared" ca="1" si="1"/>
        <v>111062</v>
      </c>
    </row>
    <row r="43" spans="1:16" s="12" customFormat="1" x14ac:dyDescent="0.25">
      <c r="B43" s="23" t="s">
        <v>83</v>
      </c>
      <c r="C43" s="11" t="s">
        <v>84</v>
      </c>
      <c r="D43" s="11" t="s">
        <v>240</v>
      </c>
      <c r="E43" s="11" t="s">
        <v>215</v>
      </c>
      <c r="F43" s="11"/>
      <c r="G43" s="11" t="s">
        <v>223</v>
      </c>
      <c r="H43" s="11">
        <v>2023</v>
      </c>
      <c r="I43" s="11" t="s">
        <v>6</v>
      </c>
      <c r="J43" s="14">
        <v>94000</v>
      </c>
      <c r="K43" s="14">
        <v>94771</v>
      </c>
      <c r="L43" s="11"/>
      <c r="M43" s="20" t="str">
        <f t="shared" ca="1" si="4"/>
        <v>-</v>
      </c>
      <c r="N43" s="14"/>
      <c r="O43" s="14">
        <f t="shared" ca="1" si="3"/>
        <v>0</v>
      </c>
      <c r="P43" s="24">
        <f t="shared" ca="1" si="1"/>
        <v>94771</v>
      </c>
    </row>
    <row r="44" spans="1:16" ht="30" customHeight="1" thickBot="1" x14ac:dyDescent="0.3">
      <c r="B44" s="59" t="s">
        <v>85</v>
      </c>
      <c r="C44" s="60"/>
      <c r="D44" s="60"/>
      <c r="E44" s="60"/>
      <c r="F44" s="60"/>
      <c r="G44" s="60"/>
      <c r="H44" s="60"/>
      <c r="I44" s="60"/>
      <c r="J44" s="27">
        <f>SUM(J3:J43)</f>
        <v>12281903.119999999</v>
      </c>
      <c r="K44" s="27">
        <f>SUM(K3:K43)</f>
        <v>11930528</v>
      </c>
      <c r="L44" s="27"/>
      <c r="M44" s="28"/>
      <c r="N44" s="29">
        <f>SUM(N3:N43)</f>
        <v>4577275.59</v>
      </c>
      <c r="O44" s="29">
        <f ca="1">SUM(O3:O43)</f>
        <v>3603748.1445083329</v>
      </c>
      <c r="P44" s="30">
        <f ca="1">SUM(P3:P43)</f>
        <v>15534276.144508334</v>
      </c>
    </row>
    <row r="45" spans="1:16" ht="30" customHeight="1" x14ac:dyDescent="0.25">
      <c r="B45" s="6"/>
      <c r="C45" s="6"/>
      <c r="D45" s="21"/>
      <c r="E45" s="21"/>
      <c r="F45" s="21"/>
      <c r="G45" s="21"/>
      <c r="H45" s="6"/>
      <c r="I45" s="6"/>
      <c r="J45" s="7"/>
      <c r="K45" s="7"/>
      <c r="L45" s="6"/>
      <c r="M45" s="8"/>
    </row>
  </sheetData>
  <autoFilter ref="B2:N2" xr:uid="{6B458174-F3E0-4412-A327-9FB759D162B1}">
    <sortState xmlns:xlrd2="http://schemas.microsoft.com/office/spreadsheetml/2017/richdata2" ref="B3:N90">
      <sortCondition ref="B2"/>
    </sortState>
  </autoFilter>
  <mergeCells count="2">
    <mergeCell ref="B1:P1"/>
    <mergeCell ref="B44:I44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F35F-E0F9-4EA5-86F1-2CDFD05CE770}">
  <dimension ref="A1:L71"/>
  <sheetViews>
    <sheetView zoomScale="85" zoomScaleNormal="85" workbookViewId="0">
      <pane xSplit="3" ySplit="2" topLeftCell="D9" activePane="bottomRight" state="frozen"/>
      <selection pane="topRight" activeCell="D1" sqref="D1"/>
      <selection pane="bottomLeft" activeCell="A3" sqref="A3"/>
      <selection pane="bottomRight" activeCell="A10" sqref="A10:XFD10"/>
    </sheetView>
  </sheetViews>
  <sheetFormatPr defaultColWidth="9.140625" defaultRowHeight="15" x14ac:dyDescent="0.25"/>
  <cols>
    <col min="1" max="1" width="0.85546875" style="1" customWidth="1"/>
    <col min="2" max="2" width="16.28515625" style="1" customWidth="1"/>
    <col min="3" max="3" width="40" style="1" bestFit="1" customWidth="1"/>
    <col min="4" max="4" width="47.28515625" style="1" customWidth="1"/>
    <col min="5" max="5" width="10.7109375" style="1" customWidth="1"/>
    <col min="6" max="6" width="14.140625" style="1" bestFit="1" customWidth="1"/>
    <col min="7" max="7" width="23.5703125" style="1" customWidth="1"/>
    <col min="8" max="8" width="14.42578125" style="9" customWidth="1"/>
    <col min="9" max="9" width="14.7109375" style="9" customWidth="1"/>
    <col min="10" max="16384" width="9.140625" style="1"/>
  </cols>
  <sheetData>
    <row r="1" spans="1:9" ht="58.5" customHeight="1" thickBot="1" x14ac:dyDescent="0.3">
      <c r="B1" s="61" t="s">
        <v>95</v>
      </c>
      <c r="C1" s="62"/>
      <c r="D1" s="62"/>
      <c r="E1" s="62"/>
      <c r="F1" s="62"/>
      <c r="G1" s="62"/>
      <c r="H1" s="62"/>
      <c r="I1" s="62"/>
    </row>
    <row r="2" spans="1:9" ht="30.6" customHeight="1" thickBot="1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0" t="s">
        <v>88</v>
      </c>
      <c r="I2" s="10" t="s">
        <v>212</v>
      </c>
    </row>
    <row r="3" spans="1:9" x14ac:dyDescent="0.25">
      <c r="A3" s="31"/>
      <c r="B3" s="32" t="s">
        <v>96</v>
      </c>
      <c r="C3" s="32" t="s">
        <v>97</v>
      </c>
      <c r="D3" s="32" t="s">
        <v>98</v>
      </c>
      <c r="E3" s="32">
        <v>2023</v>
      </c>
      <c r="F3" s="32" t="s">
        <v>7</v>
      </c>
      <c r="G3" s="34">
        <v>25000</v>
      </c>
      <c r="H3" s="51">
        <v>45413</v>
      </c>
      <c r="I3" s="55">
        <f ca="1">IF(H3&lt;&gt;0,ROUND((H3-TODAY())/30,1)*(10%/12),"-")</f>
        <v>-0.23333333333333334</v>
      </c>
    </row>
    <row r="4" spans="1:9" x14ac:dyDescent="0.25">
      <c r="A4" s="31"/>
      <c r="B4" s="32" t="s">
        <v>99</v>
      </c>
      <c r="C4" s="32" t="s">
        <v>97</v>
      </c>
      <c r="D4" s="32" t="s">
        <v>98</v>
      </c>
      <c r="E4" s="32">
        <v>2023</v>
      </c>
      <c r="F4" s="32" t="s">
        <v>7</v>
      </c>
      <c r="G4" s="34">
        <v>25000</v>
      </c>
      <c r="H4" s="51">
        <v>45413</v>
      </c>
      <c r="I4" s="55">
        <f t="shared" ref="I4:I8" ca="1" si="0">IF(H4&lt;&gt;0,ROUND((H4-TODAY())/30,1)*(10%/12),"-")</f>
        <v>-0.23333333333333334</v>
      </c>
    </row>
    <row r="5" spans="1:9" x14ac:dyDescent="0.25">
      <c r="B5" s="32" t="s">
        <v>100</v>
      </c>
      <c r="C5" s="32" t="s">
        <v>97</v>
      </c>
      <c r="D5" s="32" t="s">
        <v>98</v>
      </c>
      <c r="E5" s="32">
        <v>2023</v>
      </c>
      <c r="F5" s="32" t="s">
        <v>7</v>
      </c>
      <c r="G5" s="34">
        <v>25000</v>
      </c>
      <c r="H5" s="51">
        <v>45413</v>
      </c>
      <c r="I5" s="55">
        <f t="shared" ca="1" si="0"/>
        <v>-0.23333333333333334</v>
      </c>
    </row>
    <row r="6" spans="1:9" x14ac:dyDescent="0.25">
      <c r="B6" s="32" t="s">
        <v>101</v>
      </c>
      <c r="C6" s="32" t="s">
        <v>97</v>
      </c>
      <c r="D6" s="32" t="s">
        <v>102</v>
      </c>
      <c r="E6" s="32">
        <v>2023</v>
      </c>
      <c r="F6" s="32" t="s">
        <v>7</v>
      </c>
      <c r="G6" s="34">
        <v>17000</v>
      </c>
      <c r="H6" s="51">
        <v>45413</v>
      </c>
      <c r="I6" s="55">
        <f t="shared" ca="1" si="0"/>
        <v>-0.23333333333333334</v>
      </c>
    </row>
    <row r="7" spans="1:9" x14ac:dyDescent="0.25">
      <c r="B7" s="32" t="s">
        <v>103</v>
      </c>
      <c r="C7" s="32" t="s">
        <v>97</v>
      </c>
      <c r="D7" s="32" t="s">
        <v>102</v>
      </c>
      <c r="E7" s="32">
        <v>2023</v>
      </c>
      <c r="F7" s="32" t="s">
        <v>7</v>
      </c>
      <c r="G7" s="34">
        <v>17000</v>
      </c>
      <c r="H7" s="51">
        <v>45413</v>
      </c>
      <c r="I7" s="55">
        <f t="shared" ca="1" si="0"/>
        <v>-0.23333333333333334</v>
      </c>
    </row>
    <row r="8" spans="1:9" x14ac:dyDescent="0.25">
      <c r="B8" s="32" t="s">
        <v>104</v>
      </c>
      <c r="C8" s="32" t="s">
        <v>105</v>
      </c>
      <c r="D8" s="32" t="s">
        <v>106</v>
      </c>
      <c r="E8" s="32">
        <v>2022</v>
      </c>
      <c r="F8" s="32">
        <v>165713</v>
      </c>
      <c r="G8" s="34">
        <v>17170.25</v>
      </c>
      <c r="H8" s="51">
        <v>44851</v>
      </c>
      <c r="I8" s="55">
        <f t="shared" ca="1" si="0"/>
        <v>-0.38916666666666666</v>
      </c>
    </row>
    <row r="9" spans="1:9" x14ac:dyDescent="0.25">
      <c r="B9" s="32" t="s">
        <v>107</v>
      </c>
      <c r="C9" s="32" t="s">
        <v>105</v>
      </c>
      <c r="D9" s="32" t="s">
        <v>106</v>
      </c>
      <c r="E9" s="32">
        <v>2022</v>
      </c>
      <c r="F9" s="32">
        <v>165713</v>
      </c>
      <c r="G9" s="34">
        <v>17170.25</v>
      </c>
      <c r="H9" s="51">
        <v>44851</v>
      </c>
      <c r="I9" s="55">
        <f ca="1">IF(H9&lt;&gt;0,ROUND((H9-TODAY())/30,1)*(10%/12),"-")</f>
        <v>-0.38916666666666666</v>
      </c>
    </row>
    <row r="10" spans="1:9" x14ac:dyDescent="0.25">
      <c r="A10" s="31"/>
      <c r="B10" s="35" t="s">
        <v>108</v>
      </c>
      <c r="C10" s="32" t="s">
        <v>109</v>
      </c>
      <c r="D10" s="32" t="s">
        <v>110</v>
      </c>
      <c r="E10" s="32">
        <v>2022</v>
      </c>
      <c r="F10" s="32" t="s">
        <v>6</v>
      </c>
      <c r="G10" s="34">
        <v>4646.2</v>
      </c>
      <c r="H10" s="41">
        <v>44789</v>
      </c>
      <c r="I10" s="55">
        <f t="shared" ref="I10:I32" ca="1" si="1">IF(H10&lt;&gt;0,ROUND((H10-TODAY())/30,1)*(10%/12),"-")</f>
        <v>-0.40666666666666662</v>
      </c>
    </row>
    <row r="11" spans="1:9" x14ac:dyDescent="0.25">
      <c r="A11" s="31"/>
      <c r="B11" s="32" t="s">
        <v>111</v>
      </c>
      <c r="C11" s="33" t="s">
        <v>112</v>
      </c>
      <c r="D11" s="32" t="s">
        <v>113</v>
      </c>
      <c r="E11" s="32">
        <v>2026</v>
      </c>
      <c r="F11" s="32">
        <v>201036</v>
      </c>
      <c r="G11" s="34">
        <f>10118.5/2</f>
        <v>5059.25</v>
      </c>
      <c r="H11" s="51">
        <v>46021</v>
      </c>
      <c r="I11" s="55">
        <f t="shared" ca="1" si="1"/>
        <v>-6.4166666666666664E-2</v>
      </c>
    </row>
    <row r="12" spans="1:9" x14ac:dyDescent="0.25">
      <c r="A12" s="31"/>
      <c r="B12" s="32" t="s">
        <v>114</v>
      </c>
      <c r="C12" s="33" t="s">
        <v>112</v>
      </c>
      <c r="D12" s="32" t="s">
        <v>113</v>
      </c>
      <c r="E12" s="32">
        <v>2026</v>
      </c>
      <c r="F12" s="32">
        <v>201036</v>
      </c>
      <c r="G12" s="34">
        <f>10118.5/2</f>
        <v>5059.25</v>
      </c>
      <c r="H12" s="51">
        <v>46021</v>
      </c>
      <c r="I12" s="55">
        <f t="shared" ca="1" si="1"/>
        <v>-6.4166666666666664E-2</v>
      </c>
    </row>
    <row r="13" spans="1:9" x14ac:dyDescent="0.25">
      <c r="A13" s="31"/>
      <c r="B13" s="32" t="s">
        <v>115</v>
      </c>
      <c r="C13" s="33" t="s">
        <v>116</v>
      </c>
      <c r="D13" s="35"/>
      <c r="E13" s="35"/>
      <c r="F13" s="32">
        <v>440010</v>
      </c>
      <c r="G13" s="36"/>
      <c r="H13" s="54"/>
      <c r="I13" s="55" t="str">
        <f t="shared" ca="1" si="1"/>
        <v>-</v>
      </c>
    </row>
    <row r="14" spans="1:9" x14ac:dyDescent="0.25">
      <c r="A14" s="31"/>
      <c r="B14" s="32" t="s">
        <v>117</v>
      </c>
      <c r="C14" s="32" t="s">
        <v>118</v>
      </c>
      <c r="D14" s="32" t="s">
        <v>119</v>
      </c>
      <c r="E14" s="32">
        <v>2024</v>
      </c>
      <c r="F14" s="32" t="s">
        <v>7</v>
      </c>
      <c r="G14" s="34">
        <v>15000</v>
      </c>
      <c r="H14" s="51">
        <v>45615</v>
      </c>
      <c r="I14" s="55">
        <f t="shared" ca="1" si="1"/>
        <v>-0.17666666666666667</v>
      </c>
    </row>
    <row r="15" spans="1:9" x14ac:dyDescent="0.25">
      <c r="B15" s="32" t="s">
        <v>120</v>
      </c>
      <c r="C15" s="32" t="s">
        <v>118</v>
      </c>
      <c r="D15" s="32" t="s">
        <v>119</v>
      </c>
      <c r="E15" s="32">
        <v>2024</v>
      </c>
      <c r="F15" s="32" t="s">
        <v>7</v>
      </c>
      <c r="G15" s="34">
        <v>15000</v>
      </c>
      <c r="H15" s="51">
        <v>45953</v>
      </c>
      <c r="I15" s="55">
        <f t="shared" ca="1" si="1"/>
        <v>-8.3333333333333329E-2</v>
      </c>
    </row>
    <row r="16" spans="1:9" x14ac:dyDescent="0.25">
      <c r="B16" s="32" t="s">
        <v>121</v>
      </c>
      <c r="C16" s="32" t="s">
        <v>118</v>
      </c>
      <c r="D16" s="32" t="s">
        <v>119</v>
      </c>
      <c r="E16" s="32">
        <v>2024</v>
      </c>
      <c r="F16" s="32" t="s">
        <v>7</v>
      </c>
      <c r="G16" s="34">
        <v>15000</v>
      </c>
      <c r="H16" s="51">
        <v>45953</v>
      </c>
      <c r="I16" s="55">
        <f t="shared" ca="1" si="1"/>
        <v>-8.3333333333333329E-2</v>
      </c>
    </row>
    <row r="17" spans="1:9" x14ac:dyDescent="0.25">
      <c r="B17" s="32" t="s">
        <v>122</v>
      </c>
      <c r="C17" s="32" t="s">
        <v>118</v>
      </c>
      <c r="D17" s="32" t="s">
        <v>119</v>
      </c>
      <c r="E17" s="32">
        <v>2025</v>
      </c>
      <c r="F17" s="32" t="s">
        <v>7</v>
      </c>
      <c r="G17" s="34">
        <v>15000</v>
      </c>
      <c r="H17" s="51">
        <v>45994</v>
      </c>
      <c r="I17" s="55">
        <f t="shared" ca="1" si="1"/>
        <v>-7.1666666666666656E-2</v>
      </c>
    </row>
    <row r="18" spans="1:9" x14ac:dyDescent="0.25">
      <c r="B18" s="32" t="s">
        <v>123</v>
      </c>
      <c r="C18" s="32" t="s">
        <v>118</v>
      </c>
      <c r="D18" s="32" t="s">
        <v>119</v>
      </c>
      <c r="E18" s="32">
        <v>2026</v>
      </c>
      <c r="F18" s="32">
        <v>30</v>
      </c>
      <c r="G18" s="34">
        <v>12000</v>
      </c>
      <c r="H18" s="51">
        <v>46188</v>
      </c>
      <c r="I18" s="55">
        <f t="shared" ca="1" si="1"/>
        <v>-1.7500000000000002E-2</v>
      </c>
    </row>
    <row r="19" spans="1:9" x14ac:dyDescent="0.25">
      <c r="B19" s="32" t="s">
        <v>124</v>
      </c>
      <c r="C19" s="32" t="s">
        <v>118</v>
      </c>
      <c r="D19" s="32" t="s">
        <v>119</v>
      </c>
      <c r="E19" s="32">
        <v>2026</v>
      </c>
      <c r="F19" s="32" t="s">
        <v>7</v>
      </c>
      <c r="G19" s="34">
        <v>12500</v>
      </c>
      <c r="H19" s="51">
        <v>46219</v>
      </c>
      <c r="I19" s="55">
        <f t="shared" ca="1" si="1"/>
        <v>-9.1666666666666667E-3</v>
      </c>
    </row>
    <row r="20" spans="1:9" x14ac:dyDescent="0.25">
      <c r="B20" s="32" t="s">
        <v>125</v>
      </c>
      <c r="C20" s="32" t="s">
        <v>118</v>
      </c>
      <c r="D20" s="32" t="s">
        <v>119</v>
      </c>
      <c r="E20" s="32">
        <v>2026</v>
      </c>
      <c r="F20" s="32" t="s">
        <v>7</v>
      </c>
      <c r="G20" s="34">
        <v>12500</v>
      </c>
      <c r="H20" s="51">
        <v>46219</v>
      </c>
      <c r="I20" s="55">
        <f t="shared" ca="1" si="1"/>
        <v>-9.1666666666666667E-3</v>
      </c>
    </row>
    <row r="21" spans="1:9" x14ac:dyDescent="0.25">
      <c r="B21" s="32" t="s">
        <v>126</v>
      </c>
      <c r="C21" s="32" t="s">
        <v>127</v>
      </c>
      <c r="D21" s="32" t="s">
        <v>128</v>
      </c>
      <c r="E21" s="32">
        <v>2023</v>
      </c>
      <c r="F21" s="32" t="s">
        <v>7</v>
      </c>
      <c r="G21" s="34">
        <f>54*1250</f>
        <v>67500</v>
      </c>
      <c r="H21" s="51">
        <v>45505</v>
      </c>
      <c r="I21" s="55">
        <f t="shared" ca="1" si="1"/>
        <v>-0.20749999999999999</v>
      </c>
    </row>
    <row r="22" spans="1:9" x14ac:dyDescent="0.25">
      <c r="B22" s="32" t="s">
        <v>129</v>
      </c>
      <c r="C22" s="32" t="s">
        <v>130</v>
      </c>
      <c r="D22" s="32" t="s">
        <v>119</v>
      </c>
      <c r="E22" s="32">
        <v>2024</v>
      </c>
      <c r="F22" s="32" t="s">
        <v>7</v>
      </c>
      <c r="G22" s="34">
        <v>30000</v>
      </c>
      <c r="H22" s="51">
        <v>45615</v>
      </c>
      <c r="I22" s="55">
        <f t="shared" ca="1" si="1"/>
        <v>-0.17666666666666667</v>
      </c>
    </row>
    <row r="23" spans="1:9" x14ac:dyDescent="0.25">
      <c r="B23" s="32" t="s">
        <v>131</v>
      </c>
      <c r="C23" s="32" t="s">
        <v>130</v>
      </c>
      <c r="D23" s="32" t="s">
        <v>119</v>
      </c>
      <c r="E23" s="32">
        <v>2024</v>
      </c>
      <c r="F23" s="32" t="s">
        <v>7</v>
      </c>
      <c r="G23" s="34">
        <v>30000</v>
      </c>
      <c r="H23" s="51">
        <v>45953</v>
      </c>
      <c r="I23" s="55">
        <f t="shared" ca="1" si="1"/>
        <v>-8.3333333333333329E-2</v>
      </c>
    </row>
    <row r="24" spans="1:9" x14ac:dyDescent="0.25">
      <c r="B24" s="32" t="s">
        <v>132</v>
      </c>
      <c r="C24" s="32" t="s">
        <v>130</v>
      </c>
      <c r="D24" s="32" t="s">
        <v>119</v>
      </c>
      <c r="E24" s="32">
        <v>2025</v>
      </c>
      <c r="F24" s="32" t="s">
        <v>7</v>
      </c>
      <c r="G24" s="34">
        <v>30000</v>
      </c>
      <c r="H24" s="51">
        <v>45953</v>
      </c>
      <c r="I24" s="55">
        <f t="shared" ca="1" si="1"/>
        <v>-8.3333333333333329E-2</v>
      </c>
    </row>
    <row r="25" spans="1:9" x14ac:dyDescent="0.25">
      <c r="B25" s="32" t="s">
        <v>133</v>
      </c>
      <c r="C25" s="32" t="s">
        <v>130</v>
      </c>
      <c r="D25" s="32" t="s">
        <v>119</v>
      </c>
      <c r="E25" s="32">
        <v>2025</v>
      </c>
      <c r="F25" s="32">
        <v>31</v>
      </c>
      <c r="G25" s="34">
        <v>30000</v>
      </c>
      <c r="H25" s="51">
        <v>45994</v>
      </c>
      <c r="I25" s="55">
        <f t="shared" ca="1" si="1"/>
        <v>-7.1666666666666656E-2</v>
      </c>
    </row>
    <row r="26" spans="1:9" x14ac:dyDescent="0.25">
      <c r="B26" s="32" t="s">
        <v>134</v>
      </c>
      <c r="C26" s="32" t="s">
        <v>130</v>
      </c>
      <c r="D26" s="32" t="s">
        <v>119</v>
      </c>
      <c r="E26" s="32">
        <v>2025</v>
      </c>
      <c r="F26" s="32" t="s">
        <v>7</v>
      </c>
      <c r="G26" s="34">
        <v>30000</v>
      </c>
      <c r="H26" s="51">
        <v>46219</v>
      </c>
      <c r="I26" s="55">
        <f t="shared" ca="1" si="1"/>
        <v>-9.1666666666666667E-3</v>
      </c>
    </row>
    <row r="27" spans="1:9" x14ac:dyDescent="0.25">
      <c r="B27" s="32" t="s">
        <v>135</v>
      </c>
      <c r="C27" s="32" t="s">
        <v>130</v>
      </c>
      <c r="D27" s="32" t="s">
        <v>119</v>
      </c>
      <c r="E27" s="32">
        <v>2025</v>
      </c>
      <c r="F27" s="32" t="s">
        <v>7</v>
      </c>
      <c r="G27" s="34">
        <v>30000</v>
      </c>
      <c r="H27" s="51">
        <v>46219</v>
      </c>
      <c r="I27" s="55">
        <f t="shared" ca="1" si="1"/>
        <v>-9.1666666666666667E-3</v>
      </c>
    </row>
    <row r="28" spans="1:9" x14ac:dyDescent="0.25">
      <c r="A28" s="31"/>
      <c r="B28" s="32" t="s">
        <v>136</v>
      </c>
      <c r="C28" s="32" t="s">
        <v>137</v>
      </c>
      <c r="D28" s="33" t="s">
        <v>138</v>
      </c>
      <c r="E28" s="32" t="s">
        <v>139</v>
      </c>
      <c r="F28" s="32">
        <v>25465</v>
      </c>
      <c r="G28" s="34">
        <f>74834.19+1191.7</f>
        <v>76025.89</v>
      </c>
      <c r="H28" s="51">
        <v>45401</v>
      </c>
      <c r="I28" s="55">
        <f t="shared" ca="1" si="1"/>
        <v>-0.23666666666666666</v>
      </c>
    </row>
    <row r="29" spans="1:9" x14ac:dyDescent="0.25">
      <c r="A29" s="31"/>
      <c r="B29" s="32" t="s">
        <v>140</v>
      </c>
      <c r="C29" s="32" t="s">
        <v>141</v>
      </c>
      <c r="D29" s="32" t="s">
        <v>142</v>
      </c>
      <c r="E29" s="32">
        <v>2022</v>
      </c>
      <c r="F29" s="32">
        <v>199292</v>
      </c>
      <c r="G29" s="34">
        <v>960000</v>
      </c>
      <c r="H29" s="51">
        <v>44686</v>
      </c>
      <c r="I29" s="55">
        <f t="shared" ca="1" si="1"/>
        <v>-0.435</v>
      </c>
    </row>
    <row r="30" spans="1:9" x14ac:dyDescent="0.25">
      <c r="A30" s="31"/>
      <c r="B30" s="32" t="s">
        <v>143</v>
      </c>
      <c r="C30" s="32" t="s">
        <v>141</v>
      </c>
      <c r="D30" s="32" t="s">
        <v>142</v>
      </c>
      <c r="E30" s="32">
        <v>2022</v>
      </c>
      <c r="F30" s="32">
        <v>213435</v>
      </c>
      <c r="G30" s="34">
        <v>900000</v>
      </c>
      <c r="H30" s="51">
        <v>44916</v>
      </c>
      <c r="I30" s="55">
        <f t="shared" ca="1" si="1"/>
        <v>-0.37083333333333335</v>
      </c>
    </row>
    <row r="31" spans="1:9" x14ac:dyDescent="0.25">
      <c r="A31" s="31"/>
      <c r="B31" s="32" t="s">
        <v>144</v>
      </c>
      <c r="C31" s="32" t="s">
        <v>141</v>
      </c>
      <c r="D31" s="32" t="s">
        <v>142</v>
      </c>
      <c r="E31" s="32">
        <v>2025</v>
      </c>
      <c r="F31" s="32">
        <v>155303</v>
      </c>
      <c r="G31" s="34">
        <v>860000</v>
      </c>
      <c r="H31" s="51">
        <v>45805</v>
      </c>
      <c r="I31" s="55">
        <f t="shared" ca="1" si="1"/>
        <v>-0.12416666666666666</v>
      </c>
    </row>
    <row r="32" spans="1:9" x14ac:dyDescent="0.25">
      <c r="A32" s="31"/>
      <c r="B32" s="33" t="s">
        <v>145</v>
      </c>
      <c r="C32" s="32" t="s">
        <v>141</v>
      </c>
      <c r="D32" s="32" t="s">
        <v>142</v>
      </c>
      <c r="E32" s="32">
        <v>2025</v>
      </c>
      <c r="F32" s="32">
        <v>159002</v>
      </c>
      <c r="G32" s="34">
        <v>845040</v>
      </c>
      <c r="H32" s="51">
        <v>45945</v>
      </c>
      <c r="I32" s="55">
        <f t="shared" ca="1" si="1"/>
        <v>-8.4999999999999992E-2</v>
      </c>
    </row>
    <row r="33" spans="1:12" x14ac:dyDescent="0.25">
      <c r="A33" s="31"/>
      <c r="B33" s="33" t="s">
        <v>146</v>
      </c>
      <c r="C33" s="33" t="s">
        <v>141</v>
      </c>
      <c r="D33" s="33" t="s">
        <v>142</v>
      </c>
      <c r="E33" s="33">
        <v>2026</v>
      </c>
      <c r="F33" s="33">
        <v>165633</v>
      </c>
      <c r="G33" s="39">
        <v>800000</v>
      </c>
      <c r="H33" s="51">
        <v>46203</v>
      </c>
      <c r="I33" s="55">
        <f ca="1">IF(H33&lt;&gt;0,ROUND((H33-TODAY())/30,1)*(10%/12),"-")</f>
        <v>-1.3333333333333334E-2</v>
      </c>
    </row>
    <row r="34" spans="1:12" x14ac:dyDescent="0.25">
      <c r="A34" s="31"/>
      <c r="B34" s="32" t="s">
        <v>147</v>
      </c>
      <c r="C34" s="32" t="s">
        <v>148</v>
      </c>
      <c r="D34" s="32" t="s">
        <v>149</v>
      </c>
      <c r="E34" s="32" t="s">
        <v>53</v>
      </c>
      <c r="F34" s="32">
        <v>3315</v>
      </c>
      <c r="G34" s="34">
        <v>60000</v>
      </c>
      <c r="H34" s="51">
        <v>44589</v>
      </c>
      <c r="I34" s="55">
        <f ca="1">IF(H34&lt;&gt;0,ROUND((H34-TODAY())/30,1)*(10%/12),"-")</f>
        <v>-0.46166666666666667</v>
      </c>
    </row>
    <row r="35" spans="1:12" x14ac:dyDescent="0.25">
      <c r="A35" s="31"/>
      <c r="B35" s="33" t="s">
        <v>150</v>
      </c>
      <c r="C35" s="32" t="s">
        <v>151</v>
      </c>
      <c r="D35" s="32" t="s">
        <v>152</v>
      </c>
      <c r="E35" s="32" t="s">
        <v>53</v>
      </c>
      <c r="F35" s="32">
        <v>2945</v>
      </c>
      <c r="G35" s="34">
        <v>50000</v>
      </c>
      <c r="H35" s="51">
        <v>44589</v>
      </c>
      <c r="I35" s="55">
        <f t="shared" ref="I35:I37" ca="1" si="2">IF(H35&lt;&gt;0,ROUND((H35-TODAY())/30,1)*(10%/12),"-")</f>
        <v>-0.46166666666666667</v>
      </c>
    </row>
    <row r="36" spans="1:12" x14ac:dyDescent="0.25">
      <c r="A36" s="31"/>
      <c r="B36" s="32" t="s">
        <v>153</v>
      </c>
      <c r="C36" s="32" t="s">
        <v>151</v>
      </c>
      <c r="D36" s="32" t="s">
        <v>154</v>
      </c>
      <c r="E36" s="32" t="s">
        <v>54</v>
      </c>
      <c r="F36" s="32">
        <v>6151</v>
      </c>
      <c r="G36" s="34">
        <v>55000</v>
      </c>
      <c r="H36" s="51">
        <v>45796</v>
      </c>
      <c r="I36" s="55">
        <f t="shared" ca="1" si="2"/>
        <v>-0.12666666666666665</v>
      </c>
    </row>
    <row r="37" spans="1:12" x14ac:dyDescent="0.25">
      <c r="A37" s="31"/>
      <c r="B37" s="32" t="s">
        <v>155</v>
      </c>
      <c r="C37" s="32" t="s">
        <v>151</v>
      </c>
      <c r="D37" s="32" t="s">
        <v>152</v>
      </c>
      <c r="E37" s="32" t="s">
        <v>55</v>
      </c>
      <c r="F37" s="32">
        <v>1304</v>
      </c>
      <c r="G37" s="34">
        <v>46000</v>
      </c>
      <c r="H37" s="51">
        <v>45796</v>
      </c>
      <c r="I37" s="55">
        <f t="shared" ca="1" si="2"/>
        <v>-0.12666666666666665</v>
      </c>
    </row>
    <row r="38" spans="1:12" s="45" customFormat="1" x14ac:dyDescent="0.25">
      <c r="A38" s="44"/>
      <c r="B38" s="33" t="s">
        <v>156</v>
      </c>
      <c r="C38" s="33" t="s">
        <v>151</v>
      </c>
      <c r="D38" s="33" t="s">
        <v>157</v>
      </c>
      <c r="E38" s="33" t="s">
        <v>55</v>
      </c>
      <c r="F38" s="33">
        <v>1435</v>
      </c>
      <c r="G38" s="39">
        <v>51000</v>
      </c>
      <c r="H38" s="51">
        <v>46191</v>
      </c>
      <c r="I38" s="55">
        <f ca="1">IF(H38&lt;&gt;0,ROUND((H38-TODAY())/30,1)*(10%/12),"-")</f>
        <v>-1.6666666666666666E-2</v>
      </c>
    </row>
    <row r="39" spans="1:12" x14ac:dyDescent="0.25">
      <c r="B39" s="32" t="s">
        <v>158</v>
      </c>
      <c r="C39" s="32" t="s">
        <v>159</v>
      </c>
      <c r="D39" s="32" t="s">
        <v>160</v>
      </c>
      <c r="E39" s="32" t="s">
        <v>6</v>
      </c>
      <c r="F39" s="32">
        <v>945</v>
      </c>
      <c r="G39" s="34">
        <f>35000+7798.3</f>
        <v>42798.3</v>
      </c>
      <c r="H39" s="51">
        <v>45391</v>
      </c>
      <c r="I39" s="55">
        <f ca="1">IF(H39&lt;&gt;0,ROUND((H39-TODAY())/30,1)*(10%/12),"-")</f>
        <v>-0.23916666666666667</v>
      </c>
    </row>
    <row r="40" spans="1:12" s="45" customFormat="1" x14ac:dyDescent="0.25">
      <c r="B40" s="33" t="s">
        <v>161</v>
      </c>
      <c r="C40" s="33" t="s">
        <v>162</v>
      </c>
      <c r="D40" s="33" t="s">
        <v>163</v>
      </c>
      <c r="E40" s="33">
        <v>2022</v>
      </c>
      <c r="F40" s="33">
        <v>202633</v>
      </c>
      <c r="G40" s="39">
        <f>1140000+28000</f>
        <v>1168000</v>
      </c>
      <c r="H40" s="51">
        <v>44740</v>
      </c>
      <c r="I40" s="55">
        <f t="shared" ref="I40:I43" ca="1" si="3">IF(H40&lt;&gt;0,ROUND((H40-TODAY())/30,1)*(10%/12),"-")</f>
        <v>-0.42</v>
      </c>
    </row>
    <row r="41" spans="1:12" x14ac:dyDescent="0.25">
      <c r="B41" s="32" t="s">
        <v>164</v>
      </c>
      <c r="C41" s="32" t="s">
        <v>162</v>
      </c>
      <c r="D41" s="32" t="s">
        <v>163</v>
      </c>
      <c r="E41" s="32">
        <v>2023</v>
      </c>
      <c r="F41" s="32">
        <v>235571</v>
      </c>
      <c r="G41" s="34">
        <v>1490000</v>
      </c>
      <c r="H41" s="51">
        <v>45289</v>
      </c>
      <c r="I41" s="55">
        <f t="shared" ca="1" si="3"/>
        <v>-0.26750000000000002</v>
      </c>
    </row>
    <row r="42" spans="1:12" x14ac:dyDescent="0.25">
      <c r="A42" s="31"/>
      <c r="B42" s="32" t="s">
        <v>165</v>
      </c>
      <c r="C42" s="32" t="s">
        <v>162</v>
      </c>
      <c r="D42" s="32" t="s">
        <v>163</v>
      </c>
      <c r="E42" s="32">
        <v>2024</v>
      </c>
      <c r="F42" s="32">
        <v>149555</v>
      </c>
      <c r="G42" s="34">
        <v>1400000</v>
      </c>
      <c r="H42" s="51">
        <v>45587</v>
      </c>
      <c r="I42" s="55">
        <f t="shared" ca="1" si="3"/>
        <v>-0.185</v>
      </c>
    </row>
    <row r="43" spans="1:12" x14ac:dyDescent="0.25">
      <c r="A43" s="31"/>
      <c r="B43" s="33" t="s">
        <v>166</v>
      </c>
      <c r="C43" s="32" t="s">
        <v>162</v>
      </c>
      <c r="D43" s="32" t="s">
        <v>163</v>
      </c>
      <c r="E43" s="32">
        <v>2025</v>
      </c>
      <c r="F43" s="32">
        <v>159003</v>
      </c>
      <c r="G43" s="34">
        <v>1368160</v>
      </c>
      <c r="H43" s="51">
        <v>45945</v>
      </c>
      <c r="I43" s="55">
        <f t="shared" ca="1" si="3"/>
        <v>-8.4999999999999992E-2</v>
      </c>
    </row>
    <row r="44" spans="1:12" x14ac:dyDescent="0.25">
      <c r="A44" s="31"/>
      <c r="B44" s="33" t="s">
        <v>167</v>
      </c>
      <c r="C44" s="32" t="s">
        <v>162</v>
      </c>
      <c r="D44" s="32" t="s">
        <v>163</v>
      </c>
      <c r="E44" s="32">
        <v>2026</v>
      </c>
      <c r="F44" s="32">
        <v>166187</v>
      </c>
      <c r="G44" s="34">
        <v>1320000</v>
      </c>
      <c r="H44" s="51">
        <v>46225</v>
      </c>
      <c r="I44" s="55">
        <f ca="1">IF(H44&lt;&gt;0,ROUND((H44-TODAY())/30,1)*(10%/12),"-")</f>
        <v>-7.4999999999999997E-3</v>
      </c>
    </row>
    <row r="45" spans="1:12" x14ac:dyDescent="0.25">
      <c r="B45" s="32" t="s">
        <v>168</v>
      </c>
      <c r="C45" s="32" t="s">
        <v>169</v>
      </c>
      <c r="D45" s="32" t="s">
        <v>170</v>
      </c>
      <c r="E45" s="32">
        <v>2022</v>
      </c>
      <c r="F45" s="32">
        <v>129609</v>
      </c>
      <c r="G45" s="34">
        <f>575000+20000</f>
        <v>595000</v>
      </c>
      <c r="H45" s="51">
        <v>44634</v>
      </c>
      <c r="I45" s="55">
        <f ca="1">IF(H45&lt;&gt;0,ROUND((H45-TODAY())/30,1)*(10%/12),"-")</f>
        <v>-0.44916666666666666</v>
      </c>
      <c r="K45" s="42"/>
      <c r="L45" s="46"/>
    </row>
    <row r="46" spans="1:12" x14ac:dyDescent="0.25">
      <c r="B46" s="33" t="s">
        <v>171</v>
      </c>
      <c r="C46" s="32" t="s">
        <v>169</v>
      </c>
      <c r="D46" s="33" t="s">
        <v>170</v>
      </c>
      <c r="E46" s="32">
        <v>2023</v>
      </c>
      <c r="F46" s="32">
        <v>144081</v>
      </c>
      <c r="G46" s="34">
        <v>710000</v>
      </c>
      <c r="H46" s="51">
        <v>45223</v>
      </c>
      <c r="I46" s="55">
        <f t="shared" ref="I46:I49" ca="1" si="4">IF(H46&lt;&gt;0,ROUND((H46-TODAY())/30,1)*(10%/12),"-")</f>
        <v>-0.28583333333333333</v>
      </c>
      <c r="K46"/>
      <c r="L46" s="40"/>
    </row>
    <row r="47" spans="1:12" x14ac:dyDescent="0.25">
      <c r="A47" s="31"/>
      <c r="B47" s="32" t="s">
        <v>172</v>
      </c>
      <c r="C47" s="32" t="s">
        <v>173</v>
      </c>
      <c r="D47" s="32" t="s">
        <v>174</v>
      </c>
      <c r="E47" s="32">
        <v>2024</v>
      </c>
      <c r="F47" s="32">
        <v>150665</v>
      </c>
      <c r="G47" s="34">
        <v>387000</v>
      </c>
      <c r="H47" s="51">
        <v>45478</v>
      </c>
      <c r="I47" s="55">
        <f t="shared" ca="1" si="4"/>
        <v>-0.215</v>
      </c>
      <c r="L47" s="40"/>
    </row>
    <row r="48" spans="1:12" x14ac:dyDescent="0.25">
      <c r="B48" s="33" t="s">
        <v>175</v>
      </c>
      <c r="C48" s="32" t="s">
        <v>169</v>
      </c>
      <c r="D48" s="33" t="s">
        <v>170</v>
      </c>
      <c r="E48" s="32">
        <v>2024</v>
      </c>
      <c r="F48" s="32">
        <v>41766</v>
      </c>
      <c r="G48" s="34">
        <v>683500</v>
      </c>
      <c r="H48" s="51">
        <v>45559</v>
      </c>
      <c r="I48" s="55">
        <f t="shared" ca="1" si="4"/>
        <v>-0.1925</v>
      </c>
    </row>
    <row r="49" spans="1:10" x14ac:dyDescent="0.25">
      <c r="B49" s="33" t="s">
        <v>176</v>
      </c>
      <c r="C49" s="32" t="s">
        <v>169</v>
      </c>
      <c r="D49" s="33" t="s">
        <v>170</v>
      </c>
      <c r="E49" s="32">
        <v>2025</v>
      </c>
      <c r="F49" s="32">
        <v>44203</v>
      </c>
      <c r="G49" s="34">
        <v>627200</v>
      </c>
      <c r="H49" s="51">
        <v>45943</v>
      </c>
      <c r="I49" s="55">
        <f t="shared" ca="1" si="4"/>
        <v>-8.5833333333333345E-2</v>
      </c>
    </row>
    <row r="50" spans="1:10" x14ac:dyDescent="0.25">
      <c r="B50" s="33" t="s">
        <v>177</v>
      </c>
      <c r="C50" s="32" t="s">
        <v>169</v>
      </c>
      <c r="D50" s="33" t="s">
        <v>170</v>
      </c>
      <c r="E50" s="32">
        <v>2026</v>
      </c>
      <c r="F50" s="32">
        <v>46076</v>
      </c>
      <c r="G50" s="34">
        <v>607000</v>
      </c>
      <c r="H50" s="51">
        <v>46227</v>
      </c>
      <c r="I50" s="55">
        <f ca="1">IF(H50&lt;&gt;0,ROUND((H50-TODAY())/30,1)*(10%/12),"-")</f>
        <v>-6.6666666666666671E-3</v>
      </c>
    </row>
    <row r="51" spans="1:10" x14ac:dyDescent="0.25">
      <c r="B51" s="32" t="s">
        <v>178</v>
      </c>
      <c r="C51" s="32" t="s">
        <v>179</v>
      </c>
      <c r="D51" s="32" t="s">
        <v>180</v>
      </c>
      <c r="E51" s="32">
        <v>2023</v>
      </c>
      <c r="F51" s="32">
        <v>221827</v>
      </c>
      <c r="G51" s="34">
        <v>465000</v>
      </c>
      <c r="H51" s="51">
        <v>45071</v>
      </c>
      <c r="I51" s="55">
        <f ca="1">IF(H51&lt;&gt;0,ROUND((H51-TODAY())/30,1)*(10%/12),"-")</f>
        <v>-0.32833333333333331</v>
      </c>
    </row>
    <row r="52" spans="1:10" x14ac:dyDescent="0.25">
      <c r="B52" s="32" t="s">
        <v>181</v>
      </c>
      <c r="C52" s="32" t="s">
        <v>179</v>
      </c>
      <c r="D52" s="32" t="s">
        <v>180</v>
      </c>
      <c r="E52" s="32">
        <v>2023</v>
      </c>
      <c r="F52" s="32">
        <v>229910</v>
      </c>
      <c r="G52" s="34">
        <v>465000</v>
      </c>
      <c r="H52" s="51">
        <v>45199</v>
      </c>
      <c r="I52" s="55">
        <f t="shared" ref="I52:I54" ca="1" si="5">IF(H52&lt;&gt;0,ROUND((H52-TODAY())/30,1)*(10%/12),"-")</f>
        <v>-0.29249999999999998</v>
      </c>
    </row>
    <row r="53" spans="1:10" x14ac:dyDescent="0.25">
      <c r="B53" s="33" t="s">
        <v>182</v>
      </c>
      <c r="C53" s="32" t="s">
        <v>179</v>
      </c>
      <c r="D53" s="32" t="s">
        <v>180</v>
      </c>
      <c r="E53" s="32">
        <v>2024</v>
      </c>
      <c r="F53" s="32">
        <v>236572</v>
      </c>
      <c r="G53" s="34">
        <v>478000</v>
      </c>
      <c r="H53" s="51">
        <v>45309</v>
      </c>
      <c r="I53" s="55">
        <f t="shared" ca="1" si="5"/>
        <v>-0.26166666666666666</v>
      </c>
    </row>
    <row r="54" spans="1:10" x14ac:dyDescent="0.25">
      <c r="B54" s="32" t="s">
        <v>183</v>
      </c>
      <c r="C54" s="32" t="s">
        <v>179</v>
      </c>
      <c r="D54" s="32" t="s">
        <v>180</v>
      </c>
      <c r="E54" s="32">
        <v>2024</v>
      </c>
      <c r="F54" s="32">
        <v>146034</v>
      </c>
      <c r="G54" s="34">
        <v>428000</v>
      </c>
      <c r="H54" s="51">
        <v>45468</v>
      </c>
      <c r="I54" s="55">
        <f t="shared" ca="1" si="5"/>
        <v>-0.2175</v>
      </c>
    </row>
    <row r="55" spans="1:10" x14ac:dyDescent="0.25">
      <c r="A55" s="31"/>
      <c r="B55" s="33" t="s">
        <v>184</v>
      </c>
      <c r="C55" s="33" t="s">
        <v>179</v>
      </c>
      <c r="D55" s="33" t="s">
        <v>180</v>
      </c>
      <c r="E55" s="33">
        <v>2026</v>
      </c>
      <c r="F55" s="33">
        <v>165628</v>
      </c>
      <c r="G55" s="39">
        <v>440000</v>
      </c>
      <c r="H55" s="51">
        <v>46203</v>
      </c>
      <c r="I55" s="55">
        <f ca="1">IF(H55&lt;&gt;0,ROUND((H55-TODAY())/30,1)*(10%/12),"-")</f>
        <v>-1.3333333333333334E-2</v>
      </c>
    </row>
    <row r="56" spans="1:10" x14ac:dyDescent="0.25">
      <c r="B56" s="32" t="s">
        <v>185</v>
      </c>
      <c r="C56" s="32" t="s">
        <v>186</v>
      </c>
      <c r="D56" s="32" t="s">
        <v>187</v>
      </c>
      <c r="E56" s="32" t="s">
        <v>6</v>
      </c>
      <c r="F56" s="32" t="s">
        <v>6</v>
      </c>
      <c r="G56" s="38">
        <v>40000</v>
      </c>
      <c r="H56" s="51">
        <v>45638</v>
      </c>
      <c r="I56" s="55">
        <f ca="1">IF(H56&lt;&gt;0,ROUND((H56-TODAY())/30,1)*(10%/12),"-")</f>
        <v>-0.17083333333333334</v>
      </c>
    </row>
    <row r="57" spans="1:10" x14ac:dyDescent="0.25">
      <c r="B57" s="32" t="s">
        <v>188</v>
      </c>
      <c r="C57" s="32" t="s">
        <v>186</v>
      </c>
      <c r="D57" s="32" t="s">
        <v>187</v>
      </c>
      <c r="E57" s="32" t="s">
        <v>6</v>
      </c>
      <c r="F57" s="32" t="s">
        <v>6</v>
      </c>
      <c r="G57" s="38">
        <v>40000</v>
      </c>
      <c r="H57" s="51">
        <v>45638</v>
      </c>
      <c r="I57" s="55">
        <f t="shared" ref="I57:I61" ca="1" si="6">IF(H57&lt;&gt;0,ROUND((H57-TODAY())/30,1)*(10%/12),"-")</f>
        <v>-0.17083333333333334</v>
      </c>
    </row>
    <row r="58" spans="1:10" x14ac:dyDescent="0.25">
      <c r="B58" s="32" t="s">
        <v>189</v>
      </c>
      <c r="C58" s="32" t="s">
        <v>186</v>
      </c>
      <c r="D58" s="32" t="s">
        <v>187</v>
      </c>
      <c r="E58" s="53" t="s">
        <v>213</v>
      </c>
      <c r="F58" s="35" t="s">
        <v>6</v>
      </c>
      <c r="G58" s="38">
        <v>37500</v>
      </c>
      <c r="H58" s="37">
        <v>46237</v>
      </c>
      <c r="I58" s="55">
        <f t="shared" ca="1" si="6"/>
        <v>-4.1666666666666666E-3</v>
      </c>
    </row>
    <row r="59" spans="1:10" x14ac:dyDescent="0.25">
      <c r="B59" s="32" t="s">
        <v>190</v>
      </c>
      <c r="C59" s="32" t="s">
        <v>186</v>
      </c>
      <c r="D59" s="32" t="s">
        <v>187</v>
      </c>
      <c r="E59" s="53" t="s">
        <v>213</v>
      </c>
      <c r="F59" s="35" t="s">
        <v>6</v>
      </c>
      <c r="G59" s="38">
        <v>37500</v>
      </c>
      <c r="H59" s="37">
        <v>46237</v>
      </c>
      <c r="I59" s="55">
        <f t="shared" ca="1" si="6"/>
        <v>-4.1666666666666666E-3</v>
      </c>
    </row>
    <row r="60" spans="1:10" x14ac:dyDescent="0.25">
      <c r="B60" s="32" t="s">
        <v>191</v>
      </c>
      <c r="C60" s="32" t="s">
        <v>186</v>
      </c>
      <c r="D60" s="32" t="s">
        <v>187</v>
      </c>
      <c r="E60" s="53" t="s">
        <v>213</v>
      </c>
      <c r="F60" s="35" t="s">
        <v>6</v>
      </c>
      <c r="G60" s="38">
        <v>37500</v>
      </c>
      <c r="H60" s="37">
        <v>46237</v>
      </c>
      <c r="I60" s="55">
        <f t="shared" ca="1" si="6"/>
        <v>-4.1666666666666666E-3</v>
      </c>
    </row>
    <row r="61" spans="1:10" x14ac:dyDescent="0.25">
      <c r="B61" s="32" t="s">
        <v>192</v>
      </c>
      <c r="C61" s="32" t="s">
        <v>193</v>
      </c>
      <c r="D61" s="32" t="s">
        <v>194</v>
      </c>
      <c r="E61" s="32" t="s">
        <v>57</v>
      </c>
      <c r="F61" s="32">
        <v>499</v>
      </c>
      <c r="G61" s="34">
        <v>259000</v>
      </c>
      <c r="H61" s="51">
        <v>44589</v>
      </c>
      <c r="I61" s="55">
        <f t="shared" ca="1" si="6"/>
        <v>-0.46166666666666667</v>
      </c>
    </row>
    <row r="62" spans="1:10" x14ac:dyDescent="0.25">
      <c r="A62" s="31"/>
      <c r="B62" s="33" t="s">
        <v>195</v>
      </c>
      <c r="C62" s="32" t="s">
        <v>193</v>
      </c>
      <c r="D62" s="32" t="s">
        <v>194</v>
      </c>
      <c r="E62" s="32" t="s">
        <v>53</v>
      </c>
      <c r="F62" s="32">
        <v>2924</v>
      </c>
      <c r="G62" s="34">
        <v>310000</v>
      </c>
      <c r="H62" s="51">
        <v>44589</v>
      </c>
      <c r="I62" s="55">
        <f ca="1">IF(H62&lt;&gt;0,ROUND((H62-TODAY())/30,1)*(10%/12),"-")</f>
        <v>-0.46166666666666667</v>
      </c>
    </row>
    <row r="63" spans="1:10" x14ac:dyDescent="0.25">
      <c r="A63" s="31"/>
      <c r="B63" s="32" t="s">
        <v>196</v>
      </c>
      <c r="C63" s="32" t="s">
        <v>193</v>
      </c>
      <c r="D63" s="32" t="s">
        <v>197</v>
      </c>
      <c r="E63" s="32" t="s">
        <v>54</v>
      </c>
      <c r="F63" s="32">
        <v>6150</v>
      </c>
      <c r="G63" s="34">
        <v>385000</v>
      </c>
      <c r="H63" s="51">
        <v>45796</v>
      </c>
      <c r="I63" s="55">
        <f t="shared" ref="I63:I69" ca="1" si="7">IF(H63&lt;&gt;0,ROUND((H63-TODAY())/30,1)*(10%/12),"-")</f>
        <v>-0.12666666666666665</v>
      </c>
      <c r="J63" s="47"/>
    </row>
    <row r="64" spans="1:10" x14ac:dyDescent="0.25">
      <c r="A64" s="31"/>
      <c r="B64" s="32" t="s">
        <v>198</v>
      </c>
      <c r="C64" s="32" t="s">
        <v>193</v>
      </c>
      <c r="D64" s="33" t="s">
        <v>199</v>
      </c>
      <c r="E64" s="32" t="s">
        <v>55</v>
      </c>
      <c r="F64" s="32">
        <v>1305</v>
      </c>
      <c r="G64" s="34">
        <v>389000</v>
      </c>
      <c r="H64" s="51">
        <v>45796</v>
      </c>
      <c r="I64" s="55">
        <f t="shared" ca="1" si="7"/>
        <v>-0.12666666666666665</v>
      </c>
    </row>
    <row r="65" spans="1:9" s="45" customFormat="1" ht="29.25" customHeight="1" x14ac:dyDescent="0.25">
      <c r="A65" s="44"/>
      <c r="B65" s="33" t="s">
        <v>200</v>
      </c>
      <c r="C65" s="33" t="s">
        <v>193</v>
      </c>
      <c r="D65" s="33" t="s">
        <v>199</v>
      </c>
      <c r="E65" s="33" t="s">
        <v>55</v>
      </c>
      <c r="F65" s="33">
        <v>1434</v>
      </c>
      <c r="G65" s="39">
        <v>389000</v>
      </c>
      <c r="H65" s="51">
        <v>46191</v>
      </c>
      <c r="I65" s="55">
        <f t="shared" ca="1" si="7"/>
        <v>-1.6666666666666666E-2</v>
      </c>
    </row>
    <row r="66" spans="1:9" x14ac:dyDescent="0.25">
      <c r="A66" s="31"/>
      <c r="B66" s="35" t="s">
        <v>201</v>
      </c>
      <c r="C66" s="35" t="s">
        <v>202</v>
      </c>
      <c r="D66" s="35" t="s">
        <v>203</v>
      </c>
      <c r="E66" s="35" t="s">
        <v>6</v>
      </c>
      <c r="F66" s="35" t="s">
        <v>6</v>
      </c>
      <c r="G66" s="48">
        <f>2330000</f>
        <v>2330000</v>
      </c>
      <c r="H66" s="54"/>
      <c r="I66" s="55" t="str">
        <f t="shared" ca="1" si="7"/>
        <v>-</v>
      </c>
    </row>
    <row r="67" spans="1:9" x14ac:dyDescent="0.25">
      <c r="A67" s="31"/>
      <c r="B67" s="32" t="s">
        <v>204</v>
      </c>
      <c r="C67" s="32" t="s">
        <v>205</v>
      </c>
      <c r="D67" s="32" t="s">
        <v>206</v>
      </c>
      <c r="E67" s="32" t="s">
        <v>6</v>
      </c>
      <c r="F67" s="32" t="s">
        <v>6</v>
      </c>
      <c r="G67" s="43">
        <f>260000+7800</f>
        <v>267800</v>
      </c>
      <c r="H67" s="51">
        <v>45852</v>
      </c>
      <c r="I67" s="55">
        <f t="shared" ca="1" si="7"/>
        <v>-0.11083333333333334</v>
      </c>
    </row>
    <row r="68" spans="1:9" x14ac:dyDescent="0.25">
      <c r="B68" s="33" t="s">
        <v>207</v>
      </c>
      <c r="C68" s="32" t="s">
        <v>208</v>
      </c>
      <c r="D68" s="32" t="s">
        <v>208</v>
      </c>
      <c r="E68" s="32">
        <v>2023</v>
      </c>
      <c r="F68" s="32" t="s">
        <v>6</v>
      </c>
      <c r="G68" s="34">
        <f>15000+7500</f>
        <v>22500</v>
      </c>
      <c r="H68" s="51">
        <v>45210</v>
      </c>
      <c r="I68" s="55">
        <f t="shared" ca="1" si="7"/>
        <v>-0.28916666666666668</v>
      </c>
    </row>
    <row r="69" spans="1:9" x14ac:dyDescent="0.25">
      <c r="B69" s="32" t="s">
        <v>209</v>
      </c>
      <c r="C69" s="32" t="s">
        <v>210</v>
      </c>
      <c r="D69" s="32" t="s">
        <v>211</v>
      </c>
      <c r="E69" s="32">
        <v>2023</v>
      </c>
      <c r="F69" s="32">
        <v>43908</v>
      </c>
      <c r="G69" s="34">
        <v>1297.04</v>
      </c>
      <c r="H69" s="51">
        <v>45217</v>
      </c>
      <c r="I69" s="55">
        <f t="shared" ca="1" si="7"/>
        <v>-0.28749999999999998</v>
      </c>
    </row>
    <row r="70" spans="1:9" ht="30" customHeight="1" x14ac:dyDescent="0.25">
      <c r="B70" s="63" t="s">
        <v>85</v>
      </c>
      <c r="C70" s="64"/>
      <c r="D70" s="64"/>
      <c r="E70" s="64"/>
      <c r="F70" s="64"/>
      <c r="G70" s="49">
        <f>SUM(G3:G69)</f>
        <v>22426426.43</v>
      </c>
      <c r="H70" s="52"/>
      <c r="I70" s="49"/>
    </row>
    <row r="71" spans="1:9" ht="30" customHeight="1" x14ac:dyDescent="0.25">
      <c r="B71" s="50"/>
      <c r="C71" s="50"/>
      <c r="D71" s="50"/>
      <c r="E71" s="6"/>
      <c r="F71" s="6"/>
      <c r="G71" s="7"/>
      <c r="H71" s="7"/>
      <c r="I71" s="8"/>
    </row>
  </sheetData>
  <autoFilter ref="B2:I2" xr:uid="{6B458174-F3E0-4412-A327-9FB759D162B1}">
    <sortState xmlns:xlrd2="http://schemas.microsoft.com/office/spreadsheetml/2017/richdata2" ref="B3:I90">
      <sortCondition ref="B2"/>
    </sortState>
  </autoFilter>
  <mergeCells count="2">
    <mergeCell ref="B1:I1"/>
    <mergeCell ref="B70:F70"/>
  </mergeCells>
  <phoneticPr fontId="7" type="noConversion"/>
  <pageMargins left="0.511811024" right="0.511811024" top="0.78740157499999996" bottom="0.78740157499999996" header="0.31496062000000002" footer="0.31496062000000002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VEICULOS</vt:lpstr>
      <vt:lpstr>EQUIPAMENTOS PESADOS</vt:lpstr>
      <vt:lpstr>VEICULOS!Titulos_de_impressao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MENEZES</dc:creator>
  <cp:lastModifiedBy>João Victor Maciel</cp:lastModifiedBy>
  <cp:lastPrinted>2026-08-11T22:04:47Z</cp:lastPrinted>
  <dcterms:created xsi:type="dcterms:W3CDTF">2026-08-11T20:54:55Z</dcterms:created>
  <dcterms:modified xsi:type="dcterms:W3CDTF">2026-08-18T12:52:32Z</dcterms:modified>
</cp:coreProperties>
</file>